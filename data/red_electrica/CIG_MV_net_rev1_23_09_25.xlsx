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juan\projects\tfm\data\red_electrica\"/>
    </mc:Choice>
  </mc:AlternateContent>
  <xr:revisionPtr revIDLastSave="0" documentId="13_ncr:1_{6B1441A0-89E0-4150-BFE9-EE252DD18887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parameters" sheetId="1" r:id="rId1"/>
    <sheet name="bus" sheetId="2" r:id="rId2"/>
    <sheet name="load" sheetId="3" r:id="rId3"/>
    <sheet name="sgen" sheetId="4" r:id="rId4"/>
    <sheet name="switch" sheetId="5" r:id="rId5"/>
    <sheet name="ext_grid" sheetId="6" r:id="rId6"/>
    <sheet name="line" sheetId="7" r:id="rId7"/>
    <sheet name="trafo" sheetId="8" r:id="rId8"/>
    <sheet name="line_std_types" sheetId="9" r:id="rId9"/>
    <sheet name="trafo_std_types" sheetId="10" r:id="rId10"/>
    <sheet name="trafo3w_std_types" sheetId="11" r:id="rId11"/>
    <sheet name="res_bus" sheetId="12" r:id="rId12"/>
    <sheet name="res_line" sheetId="13" r:id="rId13"/>
    <sheet name="res_trafo" sheetId="14" r:id="rId14"/>
    <sheet name="res_ext_grid" sheetId="15" r:id="rId15"/>
    <sheet name="res_load" sheetId="16" r:id="rId16"/>
    <sheet name="res_sgen" sheetId="17" r:id="rId17"/>
    <sheet name="res_switch" sheetId="18" r:id="rId18"/>
    <sheet name="dtype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8" l="1"/>
  <c r="AC2" i="8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2" i="7"/>
  <c r="AA3" i="8" l="1"/>
  <c r="AD3" i="8" s="1"/>
  <c r="AA2" i="8"/>
  <c r="AD2" i="8" s="1"/>
  <c r="T3" i="7"/>
  <c r="X3" i="7" s="1"/>
  <c r="T4" i="7"/>
  <c r="X4" i="7" s="1"/>
  <c r="T5" i="7"/>
  <c r="X5" i="7" s="1"/>
  <c r="T6" i="7"/>
  <c r="X6" i="7" s="1"/>
  <c r="T7" i="7"/>
  <c r="X7" i="7" s="1"/>
  <c r="T8" i="7"/>
  <c r="X8" i="7" s="1"/>
  <c r="T9" i="7"/>
  <c r="X9" i="7" s="1"/>
  <c r="T10" i="7"/>
  <c r="X10" i="7" s="1"/>
  <c r="T11" i="7"/>
  <c r="X11" i="7" s="1"/>
  <c r="T12" i="7"/>
  <c r="X12" i="7" s="1"/>
  <c r="T13" i="7"/>
  <c r="X13" i="7" s="1"/>
  <c r="T14" i="7"/>
  <c r="X14" i="7" s="1"/>
  <c r="T15" i="7"/>
  <c r="X15" i="7" s="1"/>
  <c r="T16" i="7"/>
  <c r="X16" i="7" s="1"/>
  <c r="T2" i="7"/>
  <c r="X2" i="7" s="1"/>
  <c r="W16" i="7" l="1"/>
  <c r="W2" i="7"/>
  <c r="W15" i="7"/>
  <c r="W11" i="7"/>
  <c r="W14" i="7"/>
  <c r="W12" i="7"/>
  <c r="W10" i="7"/>
  <c r="W8" i="7"/>
  <c r="W5" i="7"/>
  <c r="W13" i="7"/>
  <c r="W9" i="7"/>
  <c r="W7" i="7"/>
  <c r="W6" i="7"/>
  <c r="W4" i="7"/>
  <c r="W3" i="7"/>
  <c r="K3" i="4"/>
  <c r="K4" i="4"/>
  <c r="K5" i="4"/>
  <c r="K6" i="4"/>
  <c r="K7" i="4"/>
  <c r="K8" i="4"/>
  <c r="K9" i="4"/>
  <c r="K10" i="4"/>
  <c r="K2" i="4"/>
</calcChain>
</file>

<file path=xl/sharedStrings.xml><?xml version="1.0" encoding="utf-8"?>
<sst xmlns="http://schemas.openxmlformats.org/spreadsheetml/2006/main" count="933" uniqueCount="296">
  <si>
    <t>version</t>
  </si>
  <si>
    <t>converged</t>
  </si>
  <si>
    <t>OPF_converged</t>
  </si>
  <si>
    <t>name</t>
  </si>
  <si>
    <t>f_hz</t>
  </si>
  <si>
    <t>sn_mva</t>
  </si>
  <si>
    <t>2.10.1</t>
  </si>
  <si>
    <t>vn_kv</t>
  </si>
  <si>
    <t>type</t>
  </si>
  <si>
    <t>zone</t>
  </si>
  <si>
    <t>in_service</t>
  </si>
  <si>
    <t>Bus 0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</si>
  <si>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</si>
  <si>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</si>
  <si>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</si>
  <si>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</si>
  <si>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</si>
  <si>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</si>
  <si>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</si>
  <si>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</si>
  <si>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</si>
  <si>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</si>
  <si>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</si>
  <si>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</si>
  <si>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</si>
  <si>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</si>
  <si>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</t>
  </si>
  <si>
    <t>CIGRE_MV</t>
  </si>
  <si>
    <t>bus</t>
  </si>
  <si>
    <t>p_mw</t>
  </si>
  <si>
    <t>q_mvar</t>
  </si>
  <si>
    <t>const_z_percent</t>
  </si>
  <si>
    <t>const_i_percent</t>
  </si>
  <si>
    <t>scaling</t>
  </si>
  <si>
    <t>Load R1</t>
  </si>
  <si>
    <t>Load R3</t>
  </si>
  <si>
    <t>Load R4</t>
  </si>
  <si>
    <t>Load R5</t>
  </si>
  <si>
    <t>Load R6</t>
  </si>
  <si>
    <t>Load R8</t>
  </si>
  <si>
    <t>Load R10</t>
  </si>
  <si>
    <t>Load R11</t>
  </si>
  <si>
    <t>Load R12</t>
  </si>
  <si>
    <t>Load R14</t>
  </si>
  <si>
    <t>Load CI1</t>
  </si>
  <si>
    <t>Load CI3</t>
  </si>
  <si>
    <t>Load CI7</t>
  </si>
  <si>
    <t>Load CI9</t>
  </si>
  <si>
    <t>Load CI10</t>
  </si>
  <si>
    <t>Load CI12</t>
  </si>
  <si>
    <t>Load CI13</t>
  </si>
  <si>
    <t>Load CI14</t>
  </si>
  <si>
    <t>wye</t>
  </si>
  <si>
    <t>current_source</t>
  </si>
  <si>
    <t>PV 3</t>
  </si>
  <si>
    <t>PV 4</t>
  </si>
  <si>
    <t>PV 5</t>
  </si>
  <si>
    <t>PV 6</t>
  </si>
  <si>
    <t>PV 8</t>
  </si>
  <si>
    <t>PV 9</t>
  </si>
  <si>
    <t>PV 10</t>
  </si>
  <si>
    <t>PV 11</t>
  </si>
  <si>
    <t>WKA 7</t>
  </si>
  <si>
    <t>PV</t>
  </si>
  <si>
    <t>WP</t>
  </si>
  <si>
    <t>element</t>
  </si>
  <si>
    <t>et</t>
  </si>
  <si>
    <t>closed</t>
  </si>
  <si>
    <t>z_ohm</t>
  </si>
  <si>
    <t>in_ka</t>
  </si>
  <si>
    <t>l</t>
  </si>
  <si>
    <t>CB</t>
  </si>
  <si>
    <t>S2</t>
  </si>
  <si>
    <t>S3</t>
  </si>
  <si>
    <t>S1</t>
  </si>
  <si>
    <t>vm_pu</t>
  </si>
  <si>
    <t>va_degree</t>
  </si>
  <si>
    <t>slack_weight</t>
  </si>
  <si>
    <t>s_sc_max_mva</t>
  </si>
  <si>
    <t>s_sc_min_mva</t>
  </si>
  <si>
    <t>rx_min</t>
  </si>
  <si>
    <t>rx_max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</si>
  <si>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</si>
  <si>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</si>
  <si>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</si>
  <si>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</si>
  <si>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</si>
  <si>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</si>
  <si>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</si>
  <si>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</si>
  <si>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</si>
  <si>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</si>
  <si>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</si>
  <si>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Line 1-2</t>
  </si>
  <si>
    <t>Line 2-3</t>
  </si>
  <si>
    <t>Line 3-4</t>
  </si>
  <si>
    <t>Line 4-5</t>
  </si>
  <si>
    <t>Line 5-6</t>
  </si>
  <si>
    <t>Line 7-8</t>
  </si>
  <si>
    <t>Line 8-9</t>
  </si>
  <si>
    <t>Line 9-10</t>
  </si>
  <si>
    <t>Line 10-11</t>
  </si>
  <si>
    <t>Line 3-8</t>
  </si>
  <si>
    <t>Line 12-13</t>
  </si>
  <si>
    <t>Line 13-14</t>
  </si>
  <si>
    <t>Line 6-7</t>
  </si>
  <si>
    <t>Line 11-4</t>
  </si>
  <si>
    <t>Line 14-8</t>
  </si>
  <si>
    <t>CABLE_CIGRE_MV</t>
  </si>
  <si>
    <t>OHL_CIGRE_MV</t>
  </si>
  <si>
    <t>cs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</si>
  <si>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</si>
  <si>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</si>
  <si>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</si>
  <si>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</si>
  <si>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</si>
  <si>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</si>
  <si>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</si>
  <si>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</si>
  <si>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</si>
  <si>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</si>
  <si>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</si>
  <si>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</si>
  <si>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</si>
  <si>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</si>
  <si>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</si>
  <si>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</si>
  <si>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</si>
  <si>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</si>
  <si>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Trafo 0-1</t>
  </si>
  <si>
    <t>Trafo 0-12</t>
  </si>
  <si>
    <t>q_mm2</t>
  </si>
  <si>
    <t>alpha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</si>
  <si>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</si>
  <si>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</si>
  <si>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</si>
  <si>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</si>
  <si>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</si>
  <si>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</si>
  <si>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</si>
  <si>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</si>
  <si>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</si>
  <si>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</si>
  <si>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</si>
  <si>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</si>
  <si>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</si>
  <si>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</si>
  <si>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</si>
  <si>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</si>
  <si>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</si>
  <si>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</si>
  <si>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</si>
  <si>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</si>
  <si>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</si>
  <si>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</si>
  <si>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</si>
  <si>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</si>
  <si>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</si>
  <si>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</si>
  <si>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</si>
  <si>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</si>
  <si>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</si>
  <si>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</si>
  <si>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</si>
  <si>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</si>
  <si>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</si>
  <si>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</si>
  <si>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</si>
  <si>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</si>
  <si>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</si>
  <si>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</si>
  <si>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</si>
  <si>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</si>
  <si>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</si>
  <si>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</si>
  <si>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</si>
  <si>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</si>
  <si>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</si>
  <si>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</si>
  <si>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</si>
  <si>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</si>
  <si>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</si>
  <si>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</si>
  <si>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</si>
  <si>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</si>
  <si>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</si>
  <si>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</si>
  <si>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</si>
  <si>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</si>
  <si>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</si>
  <si>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</si>
  <si>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</si>
  <si>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</si>
  <si>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</si>
  <si>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</si>
  <si>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</si>
  <si>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</si>
  <si>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</si>
  <si>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</si>
  <si>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</si>
  <si>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</si>
  <si>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</si>
  <si>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</si>
  <si>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</si>
  <si>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</si>
  <si>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</si>
  <si>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</si>
  <si>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</si>
  <si>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</si>
  <si>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</si>
  <si>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</si>
  <si>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</si>
  <si>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</si>
  <si>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</si>
  <si>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</si>
  <si>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</si>
  <si>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</si>
  <si>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</si>
  <si>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</si>
  <si>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</si>
  <si>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</si>
  <si>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</si>
  <si>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</si>
  <si>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</si>
  <si>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</si>
  <si>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</si>
  <si>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</si>
  <si>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</si>
  <si>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</si>
  <si>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</si>
  <si>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</si>
  <si>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</si>
  <si>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</si>
  <si>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</si>
  <si>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</si>
  <si>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</si>
  <si>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</si>
  <si>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</si>
  <si>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</si>
  <si>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</si>
  <si>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</si>
  <si>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</si>
  <si>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</si>
  <si>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</si>
  <si>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</si>
  <si>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</si>
  <si>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sgen</t>
  </si>
  <si>
    <t>switch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</si>
  <si>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</si>
  <si>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</si>
  <si>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</si>
  <si>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</si>
  <si>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</si>
  <si>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</si>
  <si>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</si>
  <si>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</si>
  <si>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res_sgen</t>
  </si>
  <si>
    <t>res_switch</t>
  </si>
  <si>
    <t>object</t>
  </si>
  <si>
    <t>float64</t>
  </si>
  <si>
    <t>bool</t>
  </si>
  <si>
    <t>uint32</t>
  </si>
  <si>
    <t>int64</t>
  </si>
  <si>
    <t>load_type</t>
  </si>
  <si>
    <t>residencial</t>
  </si>
  <si>
    <t>industrial</t>
  </si>
  <si>
    <t>sgen_type</t>
  </si>
  <si>
    <t>max_p_mw</t>
  </si>
  <si>
    <t>dnr_status</t>
  </si>
  <si>
    <t>switchable</t>
  </si>
  <si>
    <t>inv_candidate</t>
  </si>
  <si>
    <t>no</t>
  </si>
  <si>
    <t>inv_eur_km</t>
  </si>
  <si>
    <t>inv_eur_mva</t>
  </si>
  <si>
    <t>expected_life</t>
  </si>
  <si>
    <t>discount_Rate</t>
  </si>
  <si>
    <t>inv_initial_eur</t>
  </si>
  <si>
    <t>annuatized_cost</t>
  </si>
  <si>
    <t>geo</t>
  </si>
  <si>
    <t>"{\"coordinates\":[7.0,16.0], \"type\":\"Point\"}"</t>
  </si>
  <si>
    <t>"{\"coordinates\": [4.0, 15.0], \"type\": \"Point\"}"</t>
  </si>
  <si>
    <t>"{\"coordinates\": [4.0, 13.0], \"type\": \"Point\"}"</t>
  </si>
  <si>
    <t>"{\"coordinates\": [4.0, 11.0], \"type\": \"Point\"}"</t>
  </si>
  <si>
    <t>"{\"coordinates\": [2.5, 9.0], \"type\": \"Point\"}"</t>
  </si>
  <si>
    <t>"{\"coordinates\": [1.0, 7.0], \"type\": \"Point\"}"</t>
  </si>
  <si>
    <t>"{\"coordinates\": [1.0, 3.0], \"type\": \"Point\"}"</t>
  </si>
  <si>
    <t>"{\"coordinates\": [8.0, 3.0], \"type\": \"Point\"}"</t>
  </si>
  <si>
    <t>"{\"coordinates\": [8.0, 5.0], \"type\": \"Point\"}"</t>
  </si>
  <si>
    <t>"{\"coordinates\": [6.0, 5.0], \"type\": \"Point\"}"</t>
  </si>
  <si>
    <t>"{\"coordinates\": [4.0, 5.0], \"type\": \"Point\"}"</t>
  </si>
  <si>
    <t>"{\"coordinates\": [4.0, 7.0], \"type\": \"Point\"}"</t>
  </si>
  <si>
    <t>"{\"coordinates\": [10.0, 15.0], \"type\": \"Point\"}"</t>
  </si>
  <si>
    <t>"{\"coordinates\": [10.0, 11.0], \"type\": \"Point\"}"</t>
  </si>
  <si>
    <t>"{\"coordinates\": [10.0, 5.0], \"type\": \"Point\"}"</t>
  </si>
  <si>
    <t>switch_type</t>
  </si>
  <si>
    <t>INTERRUPTORT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</si>
</sst>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/>
    <xf numFmtId="8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8" fontId="2" fillId="0" borderId="0" xfId="0" applyNumberFormat="1" applyFont="1"/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30" sqref="C30"/>
    </sheetView>
  </sheetViews>
  <sheetFormatPr baseColWidth="10" defaultColWidth="9.1328125" defaultRowHeight="14.25" x14ac:dyDescent="0.45"/>
  <cols>
    <col min="3" max="3" width="11.86328125" bestFit="1" customWidth="1"/>
    <col min="4" max="4" width="14.86328125" bestFit="1" customWidth="1"/>
    <col min="5" max="5" width="6" bestFit="1" customWidth="1"/>
  </cols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0</v>
      </c>
      <c r="B2" t="s">
        <v>6</v>
      </c>
      <c r="C2" t="b">
        <v>1</v>
      </c>
      <c r="D2" t="b">
        <v>0</v>
      </c>
      <c r="F2">
        <v>50</v>
      </c>
      <c r="G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E34" sqref="E34"/>
    </sheetView>
  </sheetViews>
  <sheetFormatPr baseColWidth="10" defaultColWidth="9.1328125" defaultRowHeight="14.25" x14ac:dyDescent="0.45"/>
  <cols>
    <col min="6" max="6" width="11.86328125" bestFit="1" customWidth="1"/>
    <col min="7" max="7" width="47.1328125" bestFit="1" customWidth="1"/>
  </cols>
  <sheetData>
    <row r="1" spans="1:7" x14ac:dyDescent="0.45"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278</v>
      </c>
    </row>
    <row r="2" spans="1:7" x14ac:dyDescent="0.45">
      <c r="A2" s="1">
        <v>0</v>
      </c>
      <c r="B2" t="s">
        <v>11</v>
      </c>
      <c r="C2">
        <v>110</v>
      </c>
      <c r="D2" t="s">
        <v>26</v>
      </c>
      <c r="E2" t="s">
        <v>27</v>
      </c>
      <c r="F2" t="b">
        <v>1</v>
      </c>
      <c r="G2" t="s">
        <v>279</v>
      </c>
    </row>
    <row r="3" spans="1:7" x14ac:dyDescent="0.45">
      <c r="A3" s="1">
        <v>1</v>
      </c>
      <c r="B3" t="s">
        <v>12</v>
      </c>
      <c r="C3">
        <v>20</v>
      </c>
      <c r="D3" t="s">
        <v>26</v>
      </c>
      <c r="E3" t="s">
        <v>27</v>
      </c>
      <c r="F3" t="b">
        <v>1</v>
      </c>
      <c r="G3" t="s">
        <v>280</v>
      </c>
    </row>
    <row r="4" spans="1:7" x14ac:dyDescent="0.45">
      <c r="A4" s="1">
        <v>2</v>
      </c>
      <c r="B4" t="s">
        <v>13</v>
      </c>
      <c r="C4">
        <v>20</v>
      </c>
      <c r="D4" t="s">
        <v>26</v>
      </c>
      <c r="E4" t="s">
        <v>27</v>
      </c>
      <c r="F4" t="b">
        <v>1</v>
      </c>
      <c r="G4" t="s">
        <v>281</v>
      </c>
    </row>
    <row r="5" spans="1:7" x14ac:dyDescent="0.45">
      <c r="A5" s="1">
        <v>3</v>
      </c>
      <c r="B5" t="s">
        <v>14</v>
      </c>
      <c r="C5">
        <v>20</v>
      </c>
      <c r="D5" t="s">
        <v>26</v>
      </c>
      <c r="E5" t="s">
        <v>27</v>
      </c>
      <c r="F5" t="b">
        <v>1</v>
      </c>
      <c r="G5" t="s">
        <v>282</v>
      </c>
    </row>
    <row r="6" spans="1:7" x14ac:dyDescent="0.45">
      <c r="A6" s="1">
        <v>4</v>
      </c>
      <c r="B6" t="s">
        <v>15</v>
      </c>
      <c r="C6">
        <v>20</v>
      </c>
      <c r="D6" t="s">
        <v>26</v>
      </c>
      <c r="E6" t="s">
        <v>27</v>
      </c>
      <c r="F6" t="b">
        <v>1</v>
      </c>
      <c r="G6" t="s">
        <v>283</v>
      </c>
    </row>
    <row r="7" spans="1:7" x14ac:dyDescent="0.45">
      <c r="A7" s="1">
        <v>5</v>
      </c>
      <c r="B7" t="s">
        <v>16</v>
      </c>
      <c r="C7">
        <v>20</v>
      </c>
      <c r="D7" t="s">
        <v>26</v>
      </c>
      <c r="E7" t="s">
        <v>27</v>
      </c>
      <c r="F7" t="b">
        <v>1</v>
      </c>
      <c r="G7" t="s">
        <v>284</v>
      </c>
    </row>
    <row r="8" spans="1:7" x14ac:dyDescent="0.45">
      <c r="A8" s="1">
        <v>6</v>
      </c>
      <c r="B8" t="s">
        <v>17</v>
      </c>
      <c r="C8">
        <v>20</v>
      </c>
      <c r="D8" t="s">
        <v>26</v>
      </c>
      <c r="E8" t="s">
        <v>27</v>
      </c>
      <c r="F8" t="b">
        <v>1</v>
      </c>
      <c r="G8" t="s">
        <v>285</v>
      </c>
    </row>
    <row r="9" spans="1:7" x14ac:dyDescent="0.45">
      <c r="A9" s="1">
        <v>7</v>
      </c>
      <c r="B9" t="s">
        <v>18</v>
      </c>
      <c r="C9">
        <v>20</v>
      </c>
      <c r="D9" t="s">
        <v>26</v>
      </c>
      <c r="E9" t="s">
        <v>27</v>
      </c>
      <c r="F9" t="b">
        <v>1</v>
      </c>
      <c r="G9" t="s">
        <v>286</v>
      </c>
    </row>
    <row r="10" spans="1:7" x14ac:dyDescent="0.45">
      <c r="A10" s="1">
        <v>8</v>
      </c>
      <c r="B10" t="s">
        <v>19</v>
      </c>
      <c r="C10">
        <v>20</v>
      </c>
      <c r="D10" t="s">
        <v>26</v>
      </c>
      <c r="E10" t="s">
        <v>27</v>
      </c>
      <c r="F10" t="b">
        <v>1</v>
      </c>
      <c r="G10" t="s">
        <v>287</v>
      </c>
    </row>
    <row r="11" spans="1:7" x14ac:dyDescent="0.45">
      <c r="A11" s="1">
        <v>9</v>
      </c>
      <c r="B11" t="s">
        <v>20</v>
      </c>
      <c r="C11">
        <v>20</v>
      </c>
      <c r="D11" t="s">
        <v>26</v>
      </c>
      <c r="E11" t="s">
        <v>27</v>
      </c>
      <c r="F11" t="b">
        <v>1</v>
      </c>
      <c r="G11" t="s">
        <v>288</v>
      </c>
    </row>
    <row r="12" spans="1:7" x14ac:dyDescent="0.45">
      <c r="A12" s="1">
        <v>10</v>
      </c>
      <c r="B12" t="s">
        <v>21</v>
      </c>
      <c r="C12">
        <v>20</v>
      </c>
      <c r="D12" t="s">
        <v>26</v>
      </c>
      <c r="E12" t="s">
        <v>27</v>
      </c>
      <c r="F12" t="b">
        <v>1</v>
      </c>
      <c r="G12" t="s">
        <v>289</v>
      </c>
    </row>
    <row r="13" spans="1:7" x14ac:dyDescent="0.45">
      <c r="A13" s="1">
        <v>11</v>
      </c>
      <c r="B13" t="s">
        <v>22</v>
      </c>
      <c r="C13">
        <v>20</v>
      </c>
      <c r="D13" t="s">
        <v>26</v>
      </c>
      <c r="E13" t="s">
        <v>27</v>
      </c>
      <c r="F13" t="b">
        <v>1</v>
      </c>
      <c r="G13" t="s">
        <v>290</v>
      </c>
    </row>
    <row r="14" spans="1:7" x14ac:dyDescent="0.45">
      <c r="A14" s="1">
        <v>12</v>
      </c>
      <c r="B14" t="s">
        <v>23</v>
      </c>
      <c r="C14">
        <v>20</v>
      </c>
      <c r="D14" t="s">
        <v>26</v>
      </c>
      <c r="E14" t="s">
        <v>27</v>
      </c>
      <c r="F14" t="b">
        <v>1</v>
      </c>
      <c r="G14" t="s">
        <v>291</v>
      </c>
    </row>
    <row r="15" spans="1:7" x14ac:dyDescent="0.45">
      <c r="A15" s="1">
        <v>13</v>
      </c>
      <c r="B15" t="s">
        <v>24</v>
      </c>
      <c r="C15">
        <v>20</v>
      </c>
      <c r="D15" t="s">
        <v>26</v>
      </c>
      <c r="E15" t="s">
        <v>27</v>
      </c>
      <c r="F15" t="b">
        <v>1</v>
      </c>
      <c r="G15" t="s">
        <v>292</v>
      </c>
    </row>
    <row r="16" spans="1:7" x14ac:dyDescent="0.45">
      <c r="A16" s="1">
        <v>14</v>
      </c>
      <c r="B16" t="s">
        <v>25</v>
      </c>
      <c r="C16">
        <v>20</v>
      </c>
      <c r="D16" t="s">
        <v>26</v>
      </c>
      <c r="E16" t="s">
        <v>27</v>
      </c>
      <c r="F16" t="b">
        <v>1</v>
      </c>
      <c r="G16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>
      <selection activeCell="D2" sqref="D2:D11"/>
    </sheetView>
  </sheetViews>
  <sheetFormatPr baseColWidth="10" defaultColWidth="9.1328125" defaultRowHeight="14.25" x14ac:dyDescent="0.45"/>
  <cols>
    <col min="5" max="5" width="12" bestFit="1" customWidth="1"/>
    <col min="10" max="10" width="11.86328125" bestFit="1" customWidth="1"/>
    <col min="11" max="11" width="5" bestFit="1" customWidth="1"/>
    <col min="12" max="12" width="10.73046875" bestFit="1" customWidth="1"/>
  </cols>
  <sheetData>
    <row r="1" spans="1:12" x14ac:dyDescent="0.45"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5</v>
      </c>
      <c r="I1" s="1" t="s">
        <v>33</v>
      </c>
      <c r="J1" s="1" t="s">
        <v>10</v>
      </c>
      <c r="K1" s="1" t="s">
        <v>8</v>
      </c>
      <c r="L1" s="2" t="s">
        <v>263</v>
      </c>
    </row>
    <row r="2" spans="1:12" x14ac:dyDescent="0.45">
      <c r="A2" s="1">
        <v>0</v>
      </c>
      <c r="B2" t="s">
        <v>34</v>
      </c>
      <c r="C2">
        <v>1</v>
      </c>
      <c r="D2">
        <v>14.994</v>
      </c>
      <c r="E2">
        <v>3.0446615575462639</v>
      </c>
      <c r="F2">
        <v>0</v>
      </c>
      <c r="G2">
        <v>0</v>
      </c>
      <c r="H2">
        <v>15.3</v>
      </c>
      <c r="I2">
        <v>1</v>
      </c>
      <c r="J2" t="b">
        <v>1</v>
      </c>
      <c r="K2" t="s">
        <v>52</v>
      </c>
      <c r="L2" t="s">
        <v>264</v>
      </c>
    </row>
    <row r="3" spans="1:12" x14ac:dyDescent="0.45">
      <c r="A3" s="1">
        <v>1</v>
      </c>
      <c r="B3" t="s">
        <v>35</v>
      </c>
      <c r="C3">
        <v>3</v>
      </c>
      <c r="D3">
        <v>0.27644999999999997</v>
      </c>
      <c r="E3">
        <v>6.9284900952516423E-2</v>
      </c>
      <c r="F3">
        <v>0</v>
      </c>
      <c r="G3">
        <v>0</v>
      </c>
      <c r="H3">
        <v>0.28499999999999998</v>
      </c>
      <c r="I3">
        <v>1</v>
      </c>
      <c r="J3" t="b">
        <v>1</v>
      </c>
      <c r="K3" t="s">
        <v>52</v>
      </c>
      <c r="L3" t="s">
        <v>264</v>
      </c>
    </row>
    <row r="4" spans="1:12" x14ac:dyDescent="0.45">
      <c r="A4" s="1">
        <v>2</v>
      </c>
      <c r="B4" t="s">
        <v>36</v>
      </c>
      <c r="C4">
        <v>4</v>
      </c>
      <c r="D4">
        <v>0.43164999999999998</v>
      </c>
      <c r="E4">
        <v>0.1081816874521748</v>
      </c>
      <c r="F4">
        <v>0</v>
      </c>
      <c r="G4">
        <v>0</v>
      </c>
      <c r="H4">
        <v>0.44500000000000001</v>
      </c>
      <c r="I4">
        <v>1</v>
      </c>
      <c r="J4" t="b">
        <v>1</v>
      </c>
      <c r="K4" t="s">
        <v>52</v>
      </c>
      <c r="L4" t="s">
        <v>264</v>
      </c>
    </row>
    <row r="5" spans="1:12" x14ac:dyDescent="0.45">
      <c r="A5" s="1">
        <v>3</v>
      </c>
      <c r="B5" t="s">
        <v>37</v>
      </c>
      <c r="C5">
        <v>5</v>
      </c>
      <c r="D5">
        <v>0.72750000000000004</v>
      </c>
      <c r="E5">
        <v>0.182328686717148</v>
      </c>
      <c r="F5">
        <v>0</v>
      </c>
      <c r="G5">
        <v>0</v>
      </c>
      <c r="H5">
        <v>0.75</v>
      </c>
      <c r="I5">
        <v>1</v>
      </c>
      <c r="J5" t="b">
        <v>1</v>
      </c>
      <c r="K5" t="s">
        <v>52</v>
      </c>
      <c r="L5" t="s">
        <v>264</v>
      </c>
    </row>
    <row r="6" spans="1:12" x14ac:dyDescent="0.45">
      <c r="A6" s="1">
        <v>4</v>
      </c>
      <c r="B6" t="s">
        <v>38</v>
      </c>
      <c r="C6">
        <v>6</v>
      </c>
      <c r="D6">
        <v>0.54804999999999993</v>
      </c>
      <c r="E6">
        <v>0.13735427732691841</v>
      </c>
      <c r="F6">
        <v>0</v>
      </c>
      <c r="G6">
        <v>0</v>
      </c>
      <c r="H6">
        <v>0.56499999999999995</v>
      </c>
      <c r="I6">
        <v>1</v>
      </c>
      <c r="J6" t="b">
        <v>1</v>
      </c>
      <c r="K6" t="s">
        <v>52</v>
      </c>
      <c r="L6" t="s">
        <v>264</v>
      </c>
    </row>
    <row r="7" spans="1:12" x14ac:dyDescent="0.45">
      <c r="A7" s="1">
        <v>5</v>
      </c>
      <c r="B7" t="s">
        <v>39</v>
      </c>
      <c r="C7">
        <v>8</v>
      </c>
      <c r="D7">
        <v>0.58684999999999998</v>
      </c>
      <c r="E7">
        <v>0.14707847395183299</v>
      </c>
      <c r="F7">
        <v>0</v>
      </c>
      <c r="G7">
        <v>0</v>
      </c>
      <c r="H7">
        <v>0.60499999999999998</v>
      </c>
      <c r="I7">
        <v>1</v>
      </c>
      <c r="J7" t="b">
        <v>1</v>
      </c>
      <c r="K7" t="s">
        <v>52</v>
      </c>
      <c r="L7" t="s">
        <v>264</v>
      </c>
    </row>
    <row r="8" spans="1:12" x14ac:dyDescent="0.45">
      <c r="A8" s="1">
        <v>6</v>
      </c>
      <c r="B8" t="s">
        <v>40</v>
      </c>
      <c r="C8">
        <v>10</v>
      </c>
      <c r="D8">
        <v>0.4753</v>
      </c>
      <c r="E8">
        <v>0.1191214086552034</v>
      </c>
      <c r="F8">
        <v>0</v>
      </c>
      <c r="G8">
        <v>0</v>
      </c>
      <c r="H8">
        <v>0.49</v>
      </c>
      <c r="I8">
        <v>1</v>
      </c>
      <c r="J8" t="b">
        <v>1</v>
      </c>
      <c r="K8" t="s">
        <v>52</v>
      </c>
      <c r="L8" t="s">
        <v>264</v>
      </c>
    </row>
    <row r="9" spans="1:12" x14ac:dyDescent="0.45">
      <c r="A9" s="1">
        <v>7</v>
      </c>
      <c r="B9" t="s">
        <v>41</v>
      </c>
      <c r="C9">
        <v>11</v>
      </c>
      <c r="D9">
        <v>0.32979999999999998</v>
      </c>
      <c r="E9">
        <v>8.2655671311773871E-2</v>
      </c>
      <c r="F9">
        <v>0</v>
      </c>
      <c r="G9">
        <v>0</v>
      </c>
      <c r="H9">
        <v>0.34</v>
      </c>
      <c r="I9">
        <v>1</v>
      </c>
      <c r="J9" t="b">
        <v>1</v>
      </c>
      <c r="K9" t="s">
        <v>52</v>
      </c>
      <c r="L9" t="s">
        <v>264</v>
      </c>
    </row>
    <row r="10" spans="1:12" x14ac:dyDescent="0.45">
      <c r="A10" s="1">
        <v>8</v>
      </c>
      <c r="B10" t="s">
        <v>42</v>
      </c>
      <c r="C10">
        <v>12</v>
      </c>
      <c r="D10">
        <v>14.994</v>
      </c>
      <c r="E10">
        <v>3.0446615575462639</v>
      </c>
      <c r="F10">
        <v>0</v>
      </c>
      <c r="G10">
        <v>0</v>
      </c>
      <c r="H10">
        <v>15.3</v>
      </c>
      <c r="I10">
        <v>1</v>
      </c>
      <c r="J10" t="b">
        <v>1</v>
      </c>
      <c r="K10" t="s">
        <v>52</v>
      </c>
      <c r="L10" t="s">
        <v>264</v>
      </c>
    </row>
    <row r="11" spans="1:12" x14ac:dyDescent="0.45">
      <c r="A11" s="1">
        <v>9</v>
      </c>
      <c r="B11" t="s">
        <v>43</v>
      </c>
      <c r="C11">
        <v>14</v>
      </c>
      <c r="D11">
        <v>0.20855000000000001</v>
      </c>
      <c r="E11">
        <v>5.2267556858915883E-2</v>
      </c>
      <c r="F11">
        <v>0</v>
      </c>
      <c r="G11">
        <v>0</v>
      </c>
      <c r="H11">
        <v>0.215</v>
      </c>
      <c r="I11">
        <v>1</v>
      </c>
      <c r="J11" t="b">
        <v>1</v>
      </c>
      <c r="K11" t="s">
        <v>52</v>
      </c>
      <c r="L11" t="s">
        <v>264</v>
      </c>
    </row>
    <row r="12" spans="1:12" x14ac:dyDescent="0.45">
      <c r="A12" s="1">
        <v>10</v>
      </c>
      <c r="B12" t="s">
        <v>44</v>
      </c>
      <c r="C12">
        <v>1</v>
      </c>
      <c r="D12">
        <v>4.8449999999999998</v>
      </c>
      <c r="E12">
        <v>1.5924744895915921</v>
      </c>
      <c r="F12">
        <v>0</v>
      </c>
      <c r="G12">
        <v>0</v>
      </c>
      <c r="H12">
        <v>5.0999999999999996</v>
      </c>
      <c r="I12">
        <v>1</v>
      </c>
      <c r="J12" t="b">
        <v>1</v>
      </c>
      <c r="K12" t="s">
        <v>52</v>
      </c>
      <c r="L12" t="s">
        <v>265</v>
      </c>
    </row>
    <row r="13" spans="1:12" x14ac:dyDescent="0.45">
      <c r="A13" s="1">
        <v>11</v>
      </c>
      <c r="B13" t="s">
        <v>45</v>
      </c>
      <c r="C13">
        <v>3</v>
      </c>
      <c r="D13">
        <v>0.22525000000000001</v>
      </c>
      <c r="E13">
        <v>0.13959741222529881</v>
      </c>
      <c r="F13">
        <v>0</v>
      </c>
      <c r="G13">
        <v>0</v>
      </c>
      <c r="H13">
        <v>0.26500000000000001</v>
      </c>
      <c r="I13">
        <v>1</v>
      </c>
      <c r="J13" t="b">
        <v>1</v>
      </c>
      <c r="K13" t="s">
        <v>52</v>
      </c>
      <c r="L13" t="s">
        <v>265</v>
      </c>
    </row>
    <row r="14" spans="1:12" x14ac:dyDescent="0.45">
      <c r="A14" s="1">
        <v>12</v>
      </c>
      <c r="B14" t="s">
        <v>46</v>
      </c>
      <c r="C14">
        <v>7</v>
      </c>
      <c r="D14">
        <v>7.6499999999999999E-2</v>
      </c>
      <c r="E14">
        <v>4.7410441887837322E-2</v>
      </c>
      <c r="F14">
        <v>0</v>
      </c>
      <c r="G14">
        <v>0</v>
      </c>
      <c r="H14">
        <v>0.09</v>
      </c>
      <c r="I14">
        <v>1</v>
      </c>
      <c r="J14" t="b">
        <v>1</v>
      </c>
      <c r="K14" t="s">
        <v>52</v>
      </c>
      <c r="L14" t="s">
        <v>265</v>
      </c>
    </row>
    <row r="15" spans="1:12" x14ac:dyDescent="0.45">
      <c r="A15" s="1">
        <v>13</v>
      </c>
      <c r="B15" t="s">
        <v>47</v>
      </c>
      <c r="C15">
        <v>9</v>
      </c>
      <c r="D15">
        <v>0.57374999999999998</v>
      </c>
      <c r="E15">
        <v>0.35557831415878011</v>
      </c>
      <c r="F15">
        <v>0</v>
      </c>
      <c r="G15">
        <v>0</v>
      </c>
      <c r="H15">
        <v>0.67500000000000004</v>
      </c>
      <c r="I15">
        <v>1</v>
      </c>
      <c r="J15" t="b">
        <v>1</v>
      </c>
      <c r="K15" t="s">
        <v>52</v>
      </c>
      <c r="L15" t="s">
        <v>265</v>
      </c>
    </row>
    <row r="16" spans="1:12" x14ac:dyDescent="0.45">
      <c r="A16" s="1">
        <v>14</v>
      </c>
      <c r="B16" t="s">
        <v>48</v>
      </c>
      <c r="C16">
        <v>10</v>
      </c>
      <c r="D16">
        <v>6.8000000000000005E-2</v>
      </c>
      <c r="E16">
        <v>4.214261501141095E-2</v>
      </c>
      <c r="F16">
        <v>0</v>
      </c>
      <c r="G16">
        <v>0</v>
      </c>
      <c r="H16">
        <v>0.08</v>
      </c>
      <c r="I16">
        <v>1</v>
      </c>
      <c r="J16" t="b">
        <v>1</v>
      </c>
      <c r="K16" t="s">
        <v>52</v>
      </c>
      <c r="L16" t="s">
        <v>265</v>
      </c>
    </row>
    <row r="17" spans="1:12" x14ac:dyDescent="0.45">
      <c r="A17" s="1">
        <v>15</v>
      </c>
      <c r="B17" t="s">
        <v>49</v>
      </c>
      <c r="C17">
        <v>12</v>
      </c>
      <c r="D17">
        <v>5.016</v>
      </c>
      <c r="E17">
        <v>1.648679471577178</v>
      </c>
      <c r="F17">
        <v>0</v>
      </c>
      <c r="G17">
        <v>0</v>
      </c>
      <c r="H17">
        <v>5.28</v>
      </c>
      <c r="I17">
        <v>1</v>
      </c>
      <c r="J17" t="b">
        <v>1</v>
      </c>
      <c r="K17" t="s">
        <v>52</v>
      </c>
      <c r="L17" t="s">
        <v>265</v>
      </c>
    </row>
    <row r="18" spans="1:12" x14ac:dyDescent="0.45">
      <c r="A18" s="1">
        <v>16</v>
      </c>
      <c r="B18" t="s">
        <v>50</v>
      </c>
      <c r="C18">
        <v>13</v>
      </c>
      <c r="D18">
        <v>3.4000000000000002E-2</v>
      </c>
      <c r="E18">
        <v>2.1071307505705471E-2</v>
      </c>
      <c r="F18">
        <v>0</v>
      </c>
      <c r="G18">
        <v>0</v>
      </c>
      <c r="H18">
        <v>0.04</v>
      </c>
      <c r="I18">
        <v>1</v>
      </c>
      <c r="J18" t="b">
        <v>1</v>
      </c>
      <c r="K18" t="s">
        <v>52</v>
      </c>
      <c r="L18" t="s">
        <v>265</v>
      </c>
    </row>
    <row r="19" spans="1:12" x14ac:dyDescent="0.45">
      <c r="A19" s="1">
        <v>17</v>
      </c>
      <c r="B19" t="s">
        <v>51</v>
      </c>
      <c r="C19">
        <v>14</v>
      </c>
      <c r="D19">
        <v>0.33150000000000002</v>
      </c>
      <c r="E19">
        <v>0.2054452481806284</v>
      </c>
      <c r="F19">
        <v>0</v>
      </c>
      <c r="G19">
        <v>0</v>
      </c>
      <c r="H19">
        <v>0.39</v>
      </c>
      <c r="I19">
        <v>1</v>
      </c>
      <c r="J19" t="b">
        <v>1</v>
      </c>
      <c r="K19" t="s">
        <v>52</v>
      </c>
      <c r="L19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activeCell="G19" sqref="G19"/>
    </sheetView>
  </sheetViews>
  <sheetFormatPr baseColWidth="10" defaultColWidth="9.1328125" defaultRowHeight="14.25" x14ac:dyDescent="0.45"/>
  <cols>
    <col min="6" max="6" width="7.73046875" bestFit="1" customWidth="1"/>
    <col min="8" max="8" width="11.86328125" bestFit="1" customWidth="1"/>
    <col min="9" max="9" width="10.1328125" bestFit="1" customWidth="1"/>
    <col min="10" max="10" width="14.265625" bestFit="1" customWidth="1"/>
    <col min="11" max="11" width="11.1328125" bestFit="1" customWidth="1"/>
  </cols>
  <sheetData>
    <row r="1" spans="1:11" x14ac:dyDescent="0.45">
      <c r="B1" s="1" t="s">
        <v>3</v>
      </c>
      <c r="C1" s="1" t="s">
        <v>28</v>
      </c>
      <c r="D1" s="1" t="s">
        <v>29</v>
      </c>
      <c r="E1" s="1" t="s">
        <v>30</v>
      </c>
      <c r="F1" s="1" t="s">
        <v>5</v>
      </c>
      <c r="G1" s="1" t="s">
        <v>33</v>
      </c>
      <c r="H1" s="1" t="s">
        <v>10</v>
      </c>
      <c r="I1" s="1" t="s">
        <v>266</v>
      </c>
      <c r="J1" s="1" t="s">
        <v>53</v>
      </c>
      <c r="K1" t="s">
        <v>267</v>
      </c>
    </row>
    <row r="2" spans="1:11" x14ac:dyDescent="0.45">
      <c r="A2" s="1">
        <v>0</v>
      </c>
      <c r="B2" t="s">
        <v>54</v>
      </c>
      <c r="C2">
        <v>3</v>
      </c>
      <c r="D2">
        <v>0.02</v>
      </c>
      <c r="E2">
        <v>0</v>
      </c>
      <c r="F2">
        <v>0.02</v>
      </c>
      <c r="G2">
        <v>1</v>
      </c>
      <c r="H2" t="b">
        <v>1</v>
      </c>
      <c r="I2" t="s">
        <v>63</v>
      </c>
      <c r="J2" t="b">
        <v>1</v>
      </c>
      <c r="K2">
        <f>D2</f>
        <v>0.02</v>
      </c>
    </row>
    <row r="3" spans="1:11" x14ac:dyDescent="0.45">
      <c r="A3" s="1">
        <v>1</v>
      </c>
      <c r="B3" t="s">
        <v>55</v>
      </c>
      <c r="C3">
        <v>4</v>
      </c>
      <c r="D3">
        <v>0.02</v>
      </c>
      <c r="E3">
        <v>0</v>
      </c>
      <c r="F3">
        <v>0.02</v>
      </c>
      <c r="G3">
        <v>1</v>
      </c>
      <c r="H3" t="b">
        <v>1</v>
      </c>
      <c r="I3" t="s">
        <v>63</v>
      </c>
      <c r="J3" t="b">
        <v>1</v>
      </c>
      <c r="K3">
        <f t="shared" ref="K3:K10" si="0">D3</f>
        <v>0.02</v>
      </c>
    </row>
    <row r="4" spans="1:11" x14ac:dyDescent="0.45">
      <c r="A4" s="1">
        <v>2</v>
      </c>
      <c r="B4" t="s">
        <v>56</v>
      </c>
      <c r="C4">
        <v>5</v>
      </c>
      <c r="D4">
        <v>0.03</v>
      </c>
      <c r="E4">
        <v>0</v>
      </c>
      <c r="F4">
        <v>0.03</v>
      </c>
      <c r="G4">
        <v>1</v>
      </c>
      <c r="H4" t="b">
        <v>1</v>
      </c>
      <c r="I4" t="s">
        <v>63</v>
      </c>
      <c r="J4" t="b">
        <v>1</v>
      </c>
      <c r="K4">
        <f t="shared" si="0"/>
        <v>0.03</v>
      </c>
    </row>
    <row r="5" spans="1:11" x14ac:dyDescent="0.45">
      <c r="A5" s="1">
        <v>3</v>
      </c>
      <c r="B5" t="s">
        <v>57</v>
      </c>
      <c r="C5">
        <v>6</v>
      </c>
      <c r="D5">
        <v>0.03</v>
      </c>
      <c r="E5">
        <v>0</v>
      </c>
      <c r="F5">
        <v>0.03</v>
      </c>
      <c r="G5">
        <v>1</v>
      </c>
      <c r="H5" t="b">
        <v>1</v>
      </c>
      <c r="I5" t="s">
        <v>63</v>
      </c>
      <c r="J5" t="b">
        <v>1</v>
      </c>
      <c r="K5">
        <f t="shared" si="0"/>
        <v>0.03</v>
      </c>
    </row>
    <row r="6" spans="1:11" x14ac:dyDescent="0.45">
      <c r="A6" s="1">
        <v>4</v>
      </c>
      <c r="B6" t="s">
        <v>58</v>
      </c>
      <c r="C6">
        <v>8</v>
      </c>
      <c r="D6">
        <v>0.03</v>
      </c>
      <c r="E6">
        <v>0</v>
      </c>
      <c r="F6">
        <v>0.03</v>
      </c>
      <c r="G6">
        <v>1</v>
      </c>
      <c r="H6" t="b">
        <v>1</v>
      </c>
      <c r="I6" t="s">
        <v>63</v>
      </c>
      <c r="J6" t="b">
        <v>1</v>
      </c>
      <c r="K6">
        <f t="shared" si="0"/>
        <v>0.03</v>
      </c>
    </row>
    <row r="7" spans="1:11" x14ac:dyDescent="0.45">
      <c r="A7" s="1">
        <v>5</v>
      </c>
      <c r="B7" t="s">
        <v>59</v>
      </c>
      <c r="C7">
        <v>9</v>
      </c>
      <c r="D7">
        <v>0.03</v>
      </c>
      <c r="E7">
        <v>0</v>
      </c>
      <c r="F7">
        <v>0.03</v>
      </c>
      <c r="G7">
        <v>1</v>
      </c>
      <c r="H7" t="b">
        <v>1</v>
      </c>
      <c r="I7" t="s">
        <v>63</v>
      </c>
      <c r="J7" t="b">
        <v>1</v>
      </c>
      <c r="K7">
        <f t="shared" si="0"/>
        <v>0.03</v>
      </c>
    </row>
    <row r="8" spans="1:11" x14ac:dyDescent="0.45">
      <c r="A8" s="1">
        <v>6</v>
      </c>
      <c r="B8" t="s">
        <v>60</v>
      </c>
      <c r="C8">
        <v>10</v>
      </c>
      <c r="D8">
        <v>0.04</v>
      </c>
      <c r="E8">
        <v>0</v>
      </c>
      <c r="F8">
        <v>0.04</v>
      </c>
      <c r="G8">
        <v>1</v>
      </c>
      <c r="H8" t="b">
        <v>1</v>
      </c>
      <c r="I8" t="s">
        <v>63</v>
      </c>
      <c r="J8" t="b">
        <v>1</v>
      </c>
      <c r="K8">
        <f t="shared" si="0"/>
        <v>0.04</v>
      </c>
    </row>
    <row r="9" spans="1:11" x14ac:dyDescent="0.45">
      <c r="A9" s="1">
        <v>7</v>
      </c>
      <c r="B9" t="s">
        <v>61</v>
      </c>
      <c r="C9">
        <v>11</v>
      </c>
      <c r="D9">
        <v>0.01</v>
      </c>
      <c r="E9">
        <v>0</v>
      </c>
      <c r="F9">
        <v>0.01</v>
      </c>
      <c r="G9">
        <v>1</v>
      </c>
      <c r="H9" t="b">
        <v>1</v>
      </c>
      <c r="I9" t="s">
        <v>63</v>
      </c>
      <c r="J9" t="b">
        <v>1</v>
      </c>
      <c r="K9">
        <f t="shared" si="0"/>
        <v>0.01</v>
      </c>
    </row>
    <row r="10" spans="1:11" x14ac:dyDescent="0.45">
      <c r="A10" s="1">
        <v>8</v>
      </c>
      <c r="B10" t="s">
        <v>62</v>
      </c>
      <c r="C10">
        <v>7</v>
      </c>
      <c r="D10">
        <v>1.5</v>
      </c>
      <c r="E10">
        <v>0</v>
      </c>
      <c r="F10">
        <v>1.5</v>
      </c>
      <c r="G10">
        <v>1</v>
      </c>
      <c r="H10" t="b">
        <v>1</v>
      </c>
      <c r="I10" t="s">
        <v>64</v>
      </c>
      <c r="J10" t="b">
        <v>1</v>
      </c>
      <c r="K10">
        <f t="shared" si="0"/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K14" sqref="K14"/>
    </sheetView>
  </sheetViews>
  <sheetFormatPr baseColWidth="10" defaultColWidth="9.1328125" defaultRowHeight="14.25" x14ac:dyDescent="0.45"/>
  <cols>
    <col min="6" max="6" width="11.86328125" bestFit="1" customWidth="1"/>
  </cols>
  <sheetData>
    <row r="1" spans="1:9" x14ac:dyDescent="0.45">
      <c r="B1" s="1" t="s">
        <v>28</v>
      </c>
      <c r="C1" s="1" t="s">
        <v>65</v>
      </c>
      <c r="D1" s="1" t="s">
        <v>66</v>
      </c>
      <c r="E1" s="1" t="s">
        <v>8</v>
      </c>
      <c r="F1" s="1" t="s">
        <v>67</v>
      </c>
      <c r="G1" s="1" t="s">
        <v>3</v>
      </c>
      <c r="H1" s="1" t="s">
        <v>68</v>
      </c>
      <c r="I1" s="1" t="s">
        <v>69</v>
      </c>
    </row>
    <row r="2" spans="1:9" x14ac:dyDescent="0.45">
      <c r="A2" s="1">
        <v>0</v>
      </c>
      <c r="B2">
        <v>7</v>
      </c>
      <c r="C2">
        <v>12</v>
      </c>
      <c r="D2" t="s">
        <v>70</v>
      </c>
      <c r="E2" t="s">
        <v>71</v>
      </c>
      <c r="F2" t="b">
        <v>0</v>
      </c>
      <c r="G2" t="s">
        <v>72</v>
      </c>
      <c r="H2">
        <v>0</v>
      </c>
    </row>
    <row r="3" spans="1:9" x14ac:dyDescent="0.45">
      <c r="A3" s="1">
        <v>1</v>
      </c>
      <c r="B3">
        <v>4</v>
      </c>
      <c r="C3">
        <v>13</v>
      </c>
      <c r="D3" t="s">
        <v>70</v>
      </c>
      <c r="E3" t="s">
        <v>71</v>
      </c>
      <c r="F3" t="b">
        <v>0</v>
      </c>
      <c r="G3" t="s">
        <v>73</v>
      </c>
      <c r="H3">
        <v>0</v>
      </c>
    </row>
    <row r="4" spans="1:9" x14ac:dyDescent="0.45">
      <c r="A4" s="1">
        <v>2</v>
      </c>
      <c r="B4">
        <v>8</v>
      </c>
      <c r="C4">
        <v>14</v>
      </c>
      <c r="D4" t="s">
        <v>70</v>
      </c>
      <c r="E4" t="s">
        <v>71</v>
      </c>
      <c r="F4" t="b">
        <v>0</v>
      </c>
      <c r="G4" t="s">
        <v>74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F36" sqref="F36"/>
    </sheetView>
  </sheetViews>
  <sheetFormatPr baseColWidth="10" defaultColWidth="9.1328125" defaultRowHeight="14.25" x14ac:dyDescent="0.45"/>
  <sheetData>
    <row r="1" spans="1:11" x14ac:dyDescent="0.45">
      <c r="B1" s="1" t="s">
        <v>3</v>
      </c>
      <c r="C1" s="1" t="s">
        <v>28</v>
      </c>
      <c r="D1" s="1" t="s">
        <v>75</v>
      </c>
      <c r="E1" s="1" t="s">
        <v>76</v>
      </c>
      <c r="F1" s="1" t="s">
        <v>77</v>
      </c>
      <c r="G1" s="1" t="s">
        <v>10</v>
      </c>
      <c r="H1" s="1" t="s">
        <v>78</v>
      </c>
      <c r="I1" s="1" t="s">
        <v>79</v>
      </c>
      <c r="J1" s="1" t="s">
        <v>80</v>
      </c>
      <c r="K1" s="1" t="s">
        <v>81</v>
      </c>
    </row>
    <row r="2" spans="1:11" x14ac:dyDescent="0.45">
      <c r="A2" s="1">
        <v>0</v>
      </c>
      <c r="C2">
        <v>0</v>
      </c>
      <c r="D2">
        <v>1.03</v>
      </c>
      <c r="E2">
        <v>0</v>
      </c>
      <c r="F2">
        <v>1</v>
      </c>
      <c r="G2" t="b">
        <v>1</v>
      </c>
      <c r="H2">
        <v>5000</v>
      </c>
      <c r="I2">
        <v>5000</v>
      </c>
      <c r="J2">
        <v>0.1</v>
      </c>
      <c r="K2">
        <v>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"/>
  <sheetViews>
    <sheetView tabSelected="1" topLeftCell="E1" zoomScaleNormal="100" workbookViewId="0">
      <selection activeCell="Q9" sqref="Q9"/>
    </sheetView>
  </sheetViews>
  <sheetFormatPr baseColWidth="10" defaultColWidth="9.1328125" defaultRowHeight="14.25" x14ac:dyDescent="0.45"/>
  <cols>
    <col min="2" max="2" width="18.59765625" bestFit="1" customWidth="1"/>
    <col min="3" max="3" width="16.73046875" bestFit="1" customWidth="1"/>
    <col min="9" max="9" width="12.3984375" bestFit="1" customWidth="1"/>
    <col min="10" max="10" width="12.73046875" bestFit="1" customWidth="1"/>
    <col min="11" max="11" width="9.265625" bestFit="1" customWidth="1"/>
    <col min="15" max="15" width="11.86328125" bestFit="1" customWidth="1"/>
    <col min="16" max="16" width="14.3984375" bestFit="1" customWidth="1"/>
    <col min="17" max="17" width="10.59765625" bestFit="1" customWidth="1"/>
    <col min="18" max="18" width="13.3984375" bestFit="1" customWidth="1"/>
    <col min="19" max="19" width="11.3984375" bestFit="1" customWidth="1"/>
    <col min="20" max="20" width="13.86328125" bestFit="1" customWidth="1"/>
    <col min="21" max="21" width="13.265625" bestFit="1" customWidth="1"/>
    <col min="23" max="23" width="15.3984375" bestFit="1" customWidth="1"/>
    <col min="24" max="24" width="14.265625" bestFit="1" customWidth="1"/>
  </cols>
  <sheetData>
    <row r="1" spans="1:24" x14ac:dyDescent="0.45">
      <c r="B1" s="1" t="s">
        <v>3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8</v>
      </c>
      <c r="O1" s="1" t="s">
        <v>10</v>
      </c>
      <c r="P1" s="1" t="s">
        <v>294</v>
      </c>
      <c r="Q1" s="2" t="s">
        <v>268</v>
      </c>
      <c r="R1" s="2" t="s">
        <v>270</v>
      </c>
      <c r="S1" s="2" t="s">
        <v>272</v>
      </c>
      <c r="T1" s="2" t="s">
        <v>276</v>
      </c>
      <c r="U1" s="2" t="s">
        <v>274</v>
      </c>
      <c r="V1" s="2" t="s">
        <v>275</v>
      </c>
      <c r="W1" s="2" t="s">
        <v>277</v>
      </c>
    </row>
    <row r="2" spans="1:24" x14ac:dyDescent="0.45">
      <c r="A2" s="1">
        <v>0</v>
      </c>
      <c r="B2" t="s">
        <v>93</v>
      </c>
      <c r="C2" t="s">
        <v>108</v>
      </c>
      <c r="D2">
        <v>1</v>
      </c>
      <c r="E2">
        <v>2</v>
      </c>
      <c r="F2">
        <v>2.82</v>
      </c>
      <c r="G2">
        <v>0.501</v>
      </c>
      <c r="H2">
        <v>0.71599999999999997</v>
      </c>
      <c r="I2">
        <v>151.17490000000001</v>
      </c>
      <c r="J2">
        <v>0</v>
      </c>
      <c r="K2">
        <v>0.14499999999999999</v>
      </c>
      <c r="L2">
        <v>1</v>
      </c>
      <c r="M2">
        <v>1</v>
      </c>
      <c r="N2" t="s">
        <v>110</v>
      </c>
      <c r="O2" t="b">
        <v>1</v>
      </c>
      <c r="P2" t="s">
        <v>295</v>
      </c>
      <c r="Q2" s="11" t="s">
        <v>269</v>
      </c>
      <c r="R2" s="3" t="s">
        <v>271</v>
      </c>
      <c r="S2">
        <v>118212</v>
      </c>
      <c r="T2">
        <f t="shared" ref="T2:T16" si="0">F2*S2</f>
        <v>333357.83999999997</v>
      </c>
      <c r="U2" s="3">
        <v>40</v>
      </c>
      <c r="V2" s="3">
        <f>5.58/100</f>
        <v>5.5800000000000002E-2</v>
      </c>
      <c r="W2" s="4">
        <f>(T2*V2)/(1-((1+V2)^-U2))</f>
        <v>20993.70705587247</v>
      </c>
      <c r="X2" s="5">
        <f>PMT(V2,U2,T2)</f>
        <v>-20993.707055872481</v>
      </c>
    </row>
    <row r="3" spans="1:24" x14ac:dyDescent="0.45">
      <c r="A3" s="1">
        <v>1</v>
      </c>
      <c r="B3" t="s">
        <v>94</v>
      </c>
      <c r="C3" t="s">
        <v>108</v>
      </c>
      <c r="D3">
        <v>2</v>
      </c>
      <c r="E3">
        <v>3</v>
      </c>
      <c r="F3">
        <v>4.42</v>
      </c>
      <c r="G3">
        <v>0.501</v>
      </c>
      <c r="H3">
        <v>0.71599999999999997</v>
      </c>
      <c r="I3">
        <v>151.17490000000001</v>
      </c>
      <c r="J3">
        <v>0</v>
      </c>
      <c r="K3">
        <v>0.14499999999999999</v>
      </c>
      <c r="L3">
        <v>1</v>
      </c>
      <c r="M3">
        <v>1</v>
      </c>
      <c r="N3" t="s">
        <v>110</v>
      </c>
      <c r="O3" t="b">
        <v>1</v>
      </c>
      <c r="P3" t="s">
        <v>295</v>
      </c>
      <c r="Q3" s="11" t="s">
        <v>269</v>
      </c>
      <c r="R3" s="3" t="s">
        <v>271</v>
      </c>
      <c r="S3">
        <v>118212</v>
      </c>
      <c r="T3">
        <f t="shared" si="0"/>
        <v>522497.04</v>
      </c>
      <c r="U3" s="3">
        <v>40</v>
      </c>
      <c r="V3" s="3">
        <f t="shared" ref="V3:V16" si="1">5.58/100</f>
        <v>5.5800000000000002E-2</v>
      </c>
      <c r="W3" s="4">
        <f t="shared" ref="W3:W16" si="2">(T3*V3)/(1-((1+V3)^-U3))</f>
        <v>32905.030208140546</v>
      </c>
      <c r="X3" s="5">
        <f t="shared" ref="X3:X16" si="3">PMT(V3,U3,T3)</f>
        <v>-32905.030208140553</v>
      </c>
    </row>
    <row r="4" spans="1:24" s="6" customFormat="1" x14ac:dyDescent="0.45">
      <c r="A4" s="7">
        <v>2</v>
      </c>
      <c r="B4" s="6" t="s">
        <v>95</v>
      </c>
      <c r="C4" s="6" t="s">
        <v>108</v>
      </c>
      <c r="D4" s="6">
        <v>3</v>
      </c>
      <c r="E4" s="6">
        <v>4</v>
      </c>
      <c r="F4" s="6">
        <v>0.61</v>
      </c>
      <c r="G4" s="6">
        <v>0.501</v>
      </c>
      <c r="H4" s="6">
        <v>0.71599999999999997</v>
      </c>
      <c r="I4" s="6">
        <v>151.17490000000001</v>
      </c>
      <c r="J4" s="6">
        <v>0</v>
      </c>
      <c r="K4" s="6">
        <v>0.14499999999999999</v>
      </c>
      <c r="L4" s="6">
        <v>1</v>
      </c>
      <c r="M4" s="6">
        <v>1</v>
      </c>
      <c r="N4" s="6" t="s">
        <v>110</v>
      </c>
      <c r="O4" s="6" t="b">
        <v>1</v>
      </c>
      <c r="P4" t="s">
        <v>295</v>
      </c>
      <c r="Q4" s="11" t="s">
        <v>269</v>
      </c>
      <c r="R4" s="8" t="s">
        <v>271</v>
      </c>
      <c r="S4" s="6">
        <v>118212</v>
      </c>
      <c r="T4" s="6">
        <f t="shared" si="0"/>
        <v>72109.319999999992</v>
      </c>
      <c r="U4" s="8">
        <v>40</v>
      </c>
      <c r="V4" s="8">
        <f t="shared" si="1"/>
        <v>5.5800000000000002E-2</v>
      </c>
      <c r="W4" s="9">
        <f t="shared" si="2"/>
        <v>4541.1919518022014</v>
      </c>
      <c r="X4" s="10">
        <f t="shared" si="3"/>
        <v>-4541.1919518022023</v>
      </c>
    </row>
    <row r="5" spans="1:24" s="6" customFormat="1" x14ac:dyDescent="0.45">
      <c r="A5" s="7">
        <v>3</v>
      </c>
      <c r="B5" s="6" t="s">
        <v>96</v>
      </c>
      <c r="C5" s="6" t="s">
        <v>108</v>
      </c>
      <c r="D5" s="6">
        <v>4</v>
      </c>
      <c r="E5" s="6">
        <v>5</v>
      </c>
      <c r="F5" s="6">
        <v>0.56000000000000005</v>
      </c>
      <c r="G5" s="6">
        <v>0.501</v>
      </c>
      <c r="H5" s="6">
        <v>0.71599999999999997</v>
      </c>
      <c r="I5" s="6">
        <v>151.17490000000001</v>
      </c>
      <c r="J5" s="6">
        <v>0</v>
      </c>
      <c r="K5" s="6">
        <v>0.14499999999999999</v>
      </c>
      <c r="L5" s="6">
        <v>1</v>
      </c>
      <c r="M5" s="6">
        <v>1</v>
      </c>
      <c r="N5" s="6" t="s">
        <v>110</v>
      </c>
      <c r="O5" s="6" t="b">
        <v>1</v>
      </c>
      <c r="P5" t="s">
        <v>295</v>
      </c>
      <c r="Q5" s="11" t="s">
        <v>269</v>
      </c>
      <c r="R5" s="8" t="s">
        <v>271</v>
      </c>
      <c r="S5" s="6">
        <v>118212</v>
      </c>
      <c r="T5" s="6">
        <f t="shared" si="0"/>
        <v>66198.720000000001</v>
      </c>
      <c r="U5" s="8">
        <v>40</v>
      </c>
      <c r="V5" s="8">
        <f t="shared" si="1"/>
        <v>5.5800000000000002E-2</v>
      </c>
      <c r="W5" s="9">
        <f t="shared" si="2"/>
        <v>4168.963103293825</v>
      </c>
      <c r="X5" s="10">
        <f t="shared" si="3"/>
        <v>-4168.963103293826</v>
      </c>
    </row>
    <row r="6" spans="1:24" s="6" customFormat="1" x14ac:dyDescent="0.45">
      <c r="A6" s="7">
        <v>4</v>
      </c>
      <c r="B6" s="6" t="s">
        <v>97</v>
      </c>
      <c r="C6" s="6" t="s">
        <v>108</v>
      </c>
      <c r="D6" s="6">
        <v>5</v>
      </c>
      <c r="E6" s="6">
        <v>6</v>
      </c>
      <c r="F6" s="6">
        <v>1.54</v>
      </c>
      <c r="G6" s="6">
        <v>0.501</v>
      </c>
      <c r="H6" s="6">
        <v>0.71599999999999997</v>
      </c>
      <c r="I6" s="6">
        <v>151.17490000000001</v>
      </c>
      <c r="J6" s="6">
        <v>0</v>
      </c>
      <c r="K6" s="6">
        <v>0.14499999999999999</v>
      </c>
      <c r="L6" s="6">
        <v>1</v>
      </c>
      <c r="M6" s="6">
        <v>1</v>
      </c>
      <c r="N6" s="6" t="s">
        <v>110</v>
      </c>
      <c r="O6" s="6" t="b">
        <v>1</v>
      </c>
      <c r="P6" t="s">
        <v>295</v>
      </c>
      <c r="Q6" s="11" t="s">
        <v>269</v>
      </c>
      <c r="R6" s="8" t="s">
        <v>271</v>
      </c>
      <c r="S6" s="6">
        <v>118212</v>
      </c>
      <c r="T6" s="6">
        <f t="shared" si="0"/>
        <v>182046.48</v>
      </c>
      <c r="U6" s="8">
        <v>40</v>
      </c>
      <c r="V6" s="8">
        <f t="shared" si="1"/>
        <v>5.5800000000000002E-2</v>
      </c>
      <c r="W6" s="9">
        <f t="shared" si="2"/>
        <v>11464.648534058018</v>
      </c>
      <c r="X6" s="10">
        <f t="shared" si="3"/>
        <v>-11464.648534058022</v>
      </c>
    </row>
    <row r="7" spans="1:24" s="6" customFormat="1" x14ac:dyDescent="0.45">
      <c r="A7" s="7">
        <v>5</v>
      </c>
      <c r="B7" s="6" t="s">
        <v>98</v>
      </c>
      <c r="C7" s="6" t="s">
        <v>108</v>
      </c>
      <c r="D7" s="6">
        <v>7</v>
      </c>
      <c r="E7" s="6">
        <v>8</v>
      </c>
      <c r="F7" s="6">
        <v>1.67</v>
      </c>
      <c r="G7" s="6">
        <v>0.501</v>
      </c>
      <c r="H7" s="6">
        <v>0.71599999999999997</v>
      </c>
      <c r="I7" s="6">
        <v>151.17490000000001</v>
      </c>
      <c r="J7" s="6">
        <v>0</v>
      </c>
      <c r="K7" s="6">
        <v>0.14499999999999999</v>
      </c>
      <c r="L7" s="6">
        <v>1</v>
      </c>
      <c r="M7" s="6">
        <v>1</v>
      </c>
      <c r="N7" s="6" t="s">
        <v>110</v>
      </c>
      <c r="O7" s="6" t="b">
        <v>1</v>
      </c>
      <c r="P7" t="s">
        <v>295</v>
      </c>
      <c r="Q7" s="11" t="s">
        <v>269</v>
      </c>
      <c r="R7" s="8" t="s">
        <v>271</v>
      </c>
      <c r="S7" s="6">
        <v>118212</v>
      </c>
      <c r="T7" s="6">
        <f t="shared" si="0"/>
        <v>197414.03999999998</v>
      </c>
      <c r="U7" s="8">
        <v>40</v>
      </c>
      <c r="V7" s="8">
        <f t="shared" si="1"/>
        <v>5.5800000000000002E-2</v>
      </c>
      <c r="W7" s="9">
        <f t="shared" si="2"/>
        <v>12432.443540179796</v>
      </c>
      <c r="X7" s="10">
        <f t="shared" si="3"/>
        <v>-12432.4435401798</v>
      </c>
    </row>
    <row r="8" spans="1:24" x14ac:dyDescent="0.45">
      <c r="A8" s="1">
        <v>6</v>
      </c>
      <c r="B8" t="s">
        <v>99</v>
      </c>
      <c r="C8" t="s">
        <v>108</v>
      </c>
      <c r="D8">
        <v>8</v>
      </c>
      <c r="E8">
        <v>9</v>
      </c>
      <c r="F8">
        <v>0.32</v>
      </c>
      <c r="G8">
        <v>0.501</v>
      </c>
      <c r="H8">
        <v>0.71599999999999997</v>
      </c>
      <c r="I8">
        <v>151.17490000000001</v>
      </c>
      <c r="J8">
        <v>0</v>
      </c>
      <c r="K8">
        <v>0.14499999999999999</v>
      </c>
      <c r="L8">
        <v>1</v>
      </c>
      <c r="M8">
        <v>1</v>
      </c>
      <c r="N8" t="s">
        <v>110</v>
      </c>
      <c r="O8" t="b">
        <v>1</v>
      </c>
      <c r="P8" t="s">
        <v>295</v>
      </c>
      <c r="Q8" s="11" t="s">
        <v>269</v>
      </c>
      <c r="R8" s="3" t="s">
        <v>271</v>
      </c>
      <c r="S8">
        <v>118212</v>
      </c>
      <c r="T8">
        <f t="shared" si="0"/>
        <v>37827.840000000004</v>
      </c>
      <c r="U8" s="3">
        <v>40</v>
      </c>
      <c r="V8" s="3">
        <f t="shared" si="1"/>
        <v>5.5800000000000002E-2</v>
      </c>
      <c r="W8" s="4">
        <f t="shared" si="2"/>
        <v>2382.2646304536142</v>
      </c>
      <c r="X8" s="5">
        <f t="shared" si="3"/>
        <v>-2382.2646304536152</v>
      </c>
    </row>
    <row r="9" spans="1:24" x14ac:dyDescent="0.45">
      <c r="A9" s="1">
        <v>7</v>
      </c>
      <c r="B9" t="s">
        <v>100</v>
      </c>
      <c r="C9" t="s">
        <v>108</v>
      </c>
      <c r="D9">
        <v>9</v>
      </c>
      <c r="E9">
        <v>10</v>
      </c>
      <c r="F9">
        <v>0.77</v>
      </c>
      <c r="G9">
        <v>0.501</v>
      </c>
      <c r="H9">
        <v>0.71599999999999997</v>
      </c>
      <c r="I9">
        <v>151.17490000000001</v>
      </c>
      <c r="J9">
        <v>0</v>
      </c>
      <c r="K9">
        <v>0.14499999999999999</v>
      </c>
      <c r="L9">
        <v>1</v>
      </c>
      <c r="M9">
        <v>1</v>
      </c>
      <c r="N9" t="s">
        <v>110</v>
      </c>
      <c r="O9" t="b">
        <v>1</v>
      </c>
      <c r="P9" t="s">
        <v>295</v>
      </c>
      <c r="Q9" s="12" t="s">
        <v>269</v>
      </c>
      <c r="R9" s="3" t="s">
        <v>271</v>
      </c>
      <c r="S9">
        <v>118212</v>
      </c>
      <c r="T9">
        <f t="shared" si="0"/>
        <v>91023.24</v>
      </c>
      <c r="U9" s="3">
        <v>40</v>
      </c>
      <c r="V9" s="3">
        <f t="shared" si="1"/>
        <v>5.5800000000000002E-2</v>
      </c>
      <c r="W9" s="4">
        <f t="shared" si="2"/>
        <v>5732.3242670290092</v>
      </c>
      <c r="X9" s="5">
        <f t="shared" si="3"/>
        <v>-5732.324267029011</v>
      </c>
    </row>
    <row r="10" spans="1:24" x14ac:dyDescent="0.45">
      <c r="A10" s="1">
        <v>8</v>
      </c>
      <c r="B10" t="s">
        <v>101</v>
      </c>
      <c r="C10" t="s">
        <v>108</v>
      </c>
      <c r="D10">
        <v>10</v>
      </c>
      <c r="E10">
        <v>11</v>
      </c>
      <c r="F10">
        <v>0.33</v>
      </c>
      <c r="G10">
        <v>0.501</v>
      </c>
      <c r="H10">
        <v>0.71599999999999997</v>
      </c>
      <c r="I10">
        <v>151.17490000000001</v>
      </c>
      <c r="J10">
        <v>0</v>
      </c>
      <c r="K10">
        <v>0.14499999999999999</v>
      </c>
      <c r="L10">
        <v>1</v>
      </c>
      <c r="M10">
        <v>1</v>
      </c>
      <c r="N10" t="s">
        <v>110</v>
      </c>
      <c r="O10" t="b">
        <v>1</v>
      </c>
      <c r="P10" t="s">
        <v>295</v>
      </c>
      <c r="Q10" s="11" t="s">
        <v>269</v>
      </c>
      <c r="R10" s="3" t="s">
        <v>271</v>
      </c>
      <c r="S10">
        <v>118212</v>
      </c>
      <c r="T10">
        <f t="shared" si="0"/>
        <v>39009.96</v>
      </c>
      <c r="U10" s="3">
        <v>40</v>
      </c>
      <c r="V10" s="3">
        <f t="shared" si="1"/>
        <v>5.5800000000000002E-2</v>
      </c>
      <c r="W10" s="4">
        <f t="shared" si="2"/>
        <v>2456.7104001552893</v>
      </c>
      <c r="X10" s="5">
        <f t="shared" si="3"/>
        <v>-2456.7104001552902</v>
      </c>
    </row>
    <row r="11" spans="1:24" x14ac:dyDescent="0.45">
      <c r="A11" s="1">
        <v>9</v>
      </c>
      <c r="B11" t="s">
        <v>102</v>
      </c>
      <c r="C11" t="s">
        <v>108</v>
      </c>
      <c r="D11">
        <v>3</v>
      </c>
      <c r="E11">
        <v>8</v>
      </c>
      <c r="F11">
        <v>1.3</v>
      </c>
      <c r="G11">
        <v>0.501</v>
      </c>
      <c r="H11">
        <v>0.71599999999999997</v>
      </c>
      <c r="I11">
        <v>151.17490000000001</v>
      </c>
      <c r="J11">
        <v>0</v>
      </c>
      <c r="K11">
        <v>0.14499999999999999</v>
      </c>
      <c r="L11">
        <v>1</v>
      </c>
      <c r="M11">
        <v>1</v>
      </c>
      <c r="N11" t="s">
        <v>110</v>
      </c>
      <c r="O11" t="b">
        <v>1</v>
      </c>
      <c r="P11" t="s">
        <v>295</v>
      </c>
      <c r="Q11" s="11" t="s">
        <v>269</v>
      </c>
      <c r="R11" s="3" t="s">
        <v>271</v>
      </c>
      <c r="S11">
        <v>118212</v>
      </c>
      <c r="T11">
        <f t="shared" si="0"/>
        <v>153675.6</v>
      </c>
      <c r="U11" s="3">
        <v>40</v>
      </c>
      <c r="V11" s="3">
        <f t="shared" si="1"/>
        <v>5.5800000000000002E-2</v>
      </c>
      <c r="W11" s="4">
        <f t="shared" si="2"/>
        <v>9677.9500612178072</v>
      </c>
      <c r="X11" s="5">
        <f t="shared" si="3"/>
        <v>-9677.9500612178108</v>
      </c>
    </row>
    <row r="12" spans="1:24" x14ac:dyDescent="0.45">
      <c r="A12" s="1">
        <v>10</v>
      </c>
      <c r="B12" t="s">
        <v>103</v>
      </c>
      <c r="C12" t="s">
        <v>109</v>
      </c>
      <c r="D12">
        <v>12</v>
      </c>
      <c r="E12">
        <v>13</v>
      </c>
      <c r="F12">
        <v>4.8899999999999997</v>
      </c>
      <c r="G12">
        <v>0.51</v>
      </c>
      <c r="H12">
        <v>0.36599999999999999</v>
      </c>
      <c r="I12">
        <v>10.09679</v>
      </c>
      <c r="J12">
        <v>0</v>
      </c>
      <c r="K12">
        <v>0.19500000000000001</v>
      </c>
      <c r="L12">
        <v>1</v>
      </c>
      <c r="M12">
        <v>1</v>
      </c>
      <c r="N12" t="s">
        <v>111</v>
      </c>
      <c r="O12" t="b">
        <v>1</v>
      </c>
      <c r="P12" t="s">
        <v>295</v>
      </c>
      <c r="Q12" s="11" t="s">
        <v>269</v>
      </c>
      <c r="R12" s="3" t="s">
        <v>271</v>
      </c>
      <c r="S12">
        <v>58518</v>
      </c>
      <c r="T12">
        <f t="shared" si="0"/>
        <v>286153.01999999996</v>
      </c>
      <c r="U12" s="3">
        <v>40</v>
      </c>
      <c r="V12" s="3">
        <f t="shared" si="1"/>
        <v>5.5800000000000002E-2</v>
      </c>
      <c r="W12" s="4">
        <f t="shared" si="2"/>
        <v>18020.91312756651</v>
      </c>
      <c r="X12" s="5">
        <f t="shared" si="3"/>
        <v>-18020.913127566517</v>
      </c>
    </row>
    <row r="13" spans="1:24" x14ac:dyDescent="0.45">
      <c r="A13" s="1">
        <v>11</v>
      </c>
      <c r="B13" t="s">
        <v>104</v>
      </c>
      <c r="C13" t="s">
        <v>109</v>
      </c>
      <c r="D13">
        <v>13</v>
      </c>
      <c r="E13">
        <v>14</v>
      </c>
      <c r="F13">
        <v>2.99</v>
      </c>
      <c r="G13">
        <v>0.51</v>
      </c>
      <c r="H13">
        <v>0.36599999999999999</v>
      </c>
      <c r="I13">
        <v>10.09679</v>
      </c>
      <c r="J13">
        <v>0</v>
      </c>
      <c r="K13">
        <v>0.19500000000000001</v>
      </c>
      <c r="L13">
        <v>1</v>
      </c>
      <c r="M13">
        <v>1</v>
      </c>
      <c r="N13" t="s">
        <v>111</v>
      </c>
      <c r="O13" t="b">
        <v>1</v>
      </c>
      <c r="P13" t="s">
        <v>295</v>
      </c>
      <c r="Q13" s="11" t="s">
        <v>269</v>
      </c>
      <c r="R13" s="3" t="s">
        <v>271</v>
      </c>
      <c r="S13">
        <v>58518</v>
      </c>
      <c r="T13">
        <f t="shared" si="0"/>
        <v>174968.82</v>
      </c>
      <c r="U13" s="3">
        <v>40</v>
      </c>
      <c r="V13" s="3">
        <f t="shared" si="1"/>
        <v>5.5800000000000002E-2</v>
      </c>
      <c r="W13" s="4">
        <f t="shared" si="2"/>
        <v>11018.922341804473</v>
      </c>
      <c r="X13" s="5">
        <f t="shared" si="3"/>
        <v>-11018.922341804477</v>
      </c>
    </row>
    <row r="14" spans="1:24" x14ac:dyDescent="0.45">
      <c r="A14" s="1">
        <v>12</v>
      </c>
      <c r="B14" t="s">
        <v>105</v>
      </c>
      <c r="C14" t="s">
        <v>108</v>
      </c>
      <c r="D14">
        <v>6</v>
      </c>
      <c r="E14">
        <v>7</v>
      </c>
      <c r="F14">
        <v>0.24</v>
      </c>
      <c r="G14">
        <v>0.501</v>
      </c>
      <c r="H14">
        <v>0.71599999999999997</v>
      </c>
      <c r="I14">
        <v>151.17490000000001</v>
      </c>
      <c r="J14">
        <v>0</v>
      </c>
      <c r="K14">
        <v>0.14499999999999999</v>
      </c>
      <c r="L14">
        <v>1</v>
      </c>
      <c r="M14">
        <v>1</v>
      </c>
      <c r="N14" t="s">
        <v>110</v>
      </c>
      <c r="O14" t="b">
        <v>1</v>
      </c>
      <c r="P14" t="s">
        <v>295</v>
      </c>
      <c r="Q14" s="11" t="s">
        <v>269</v>
      </c>
      <c r="R14" s="3" t="s">
        <v>271</v>
      </c>
      <c r="S14">
        <v>118212</v>
      </c>
      <c r="T14">
        <f t="shared" si="0"/>
        <v>28370.879999999997</v>
      </c>
      <c r="U14" s="3">
        <v>40</v>
      </c>
      <c r="V14" s="3">
        <f t="shared" si="1"/>
        <v>5.5800000000000002E-2</v>
      </c>
      <c r="W14" s="4">
        <f t="shared" si="2"/>
        <v>1786.6984728402106</v>
      </c>
      <c r="X14" s="5">
        <f t="shared" si="3"/>
        <v>-1786.6984728402108</v>
      </c>
    </row>
    <row r="15" spans="1:24" x14ac:dyDescent="0.45">
      <c r="A15" s="1">
        <v>13</v>
      </c>
      <c r="B15" t="s">
        <v>106</v>
      </c>
      <c r="C15" t="s">
        <v>108</v>
      </c>
      <c r="D15">
        <v>11</v>
      </c>
      <c r="E15">
        <v>4</v>
      </c>
      <c r="F15">
        <v>0.49</v>
      </c>
      <c r="G15">
        <v>0.501</v>
      </c>
      <c r="H15">
        <v>0.71599999999999997</v>
      </c>
      <c r="I15">
        <v>151.17490000000001</v>
      </c>
      <c r="J15">
        <v>0</v>
      </c>
      <c r="K15">
        <v>0.14499999999999999</v>
      </c>
      <c r="L15">
        <v>1</v>
      </c>
      <c r="M15">
        <v>1</v>
      </c>
      <c r="N15" t="s">
        <v>110</v>
      </c>
      <c r="O15" t="b">
        <v>1</v>
      </c>
      <c r="P15" t="s">
        <v>295</v>
      </c>
      <c r="Q15" s="11" t="s">
        <v>269</v>
      </c>
      <c r="R15" s="3" t="s">
        <v>271</v>
      </c>
      <c r="S15">
        <v>118212</v>
      </c>
      <c r="T15">
        <f t="shared" si="0"/>
        <v>57923.88</v>
      </c>
      <c r="U15" s="3">
        <v>40</v>
      </c>
      <c r="V15" s="3">
        <f t="shared" si="1"/>
        <v>5.5800000000000002E-2</v>
      </c>
      <c r="W15" s="4">
        <f t="shared" si="2"/>
        <v>3647.8427153820967</v>
      </c>
      <c r="X15" s="5">
        <f t="shared" si="3"/>
        <v>-3647.8427153820971</v>
      </c>
    </row>
    <row r="16" spans="1:24" x14ac:dyDescent="0.45">
      <c r="A16" s="1">
        <v>14</v>
      </c>
      <c r="B16" t="s">
        <v>107</v>
      </c>
      <c r="C16" t="s">
        <v>109</v>
      </c>
      <c r="D16">
        <v>14</v>
      </c>
      <c r="E16">
        <v>8</v>
      </c>
      <c r="F16">
        <v>2</v>
      </c>
      <c r="G16">
        <v>0.51</v>
      </c>
      <c r="H16">
        <v>0.36599999999999999</v>
      </c>
      <c r="I16">
        <v>10.09679</v>
      </c>
      <c r="J16">
        <v>0</v>
      </c>
      <c r="K16">
        <v>0.19500000000000001</v>
      </c>
      <c r="L16">
        <v>1</v>
      </c>
      <c r="M16">
        <v>1</v>
      </c>
      <c r="N16" t="s">
        <v>111</v>
      </c>
      <c r="O16" t="b">
        <v>1</v>
      </c>
      <c r="P16" t="s">
        <v>295</v>
      </c>
      <c r="Q16" s="11" t="s">
        <v>269</v>
      </c>
      <c r="R16" s="3" t="s">
        <v>271</v>
      </c>
      <c r="S16">
        <v>58518</v>
      </c>
      <c r="T16">
        <f t="shared" si="0"/>
        <v>117036</v>
      </c>
      <c r="U16" s="3">
        <v>40</v>
      </c>
      <c r="V16" s="3">
        <f t="shared" si="1"/>
        <v>5.5800000000000002E-2</v>
      </c>
      <c r="W16" s="4">
        <f t="shared" si="2"/>
        <v>7370.5166165916207</v>
      </c>
      <c r="X16" s="5">
        <f t="shared" si="3"/>
        <v>-7370.5166165916226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"/>
  <sheetViews>
    <sheetView zoomScale="112" zoomScaleNormal="112" workbookViewId="0">
      <selection activeCell="C13" sqref="C13"/>
    </sheetView>
  </sheetViews>
  <sheetFormatPr baseColWidth="10" defaultColWidth="9.1328125" defaultRowHeight="14.25" x14ac:dyDescent="0.45"/>
  <cols>
    <col min="2" max="2" width="19.3984375" customWidth="1"/>
    <col min="24" max="24" width="11.86328125" bestFit="1" customWidth="1"/>
    <col min="25" max="25" width="13.3984375" bestFit="1" customWidth="1"/>
    <col min="26" max="26" width="11.3984375" bestFit="1" customWidth="1"/>
    <col min="27" max="27" width="11.3984375" customWidth="1"/>
    <col min="30" max="30" width="15.3984375" bestFit="1" customWidth="1"/>
  </cols>
  <sheetData>
    <row r="1" spans="1:30" x14ac:dyDescent="0.45">
      <c r="B1" s="1" t="s">
        <v>3</v>
      </c>
      <c r="C1" s="1" t="s">
        <v>82</v>
      </c>
      <c r="D1" s="1" t="s">
        <v>112</v>
      </c>
      <c r="E1" s="1" t="s">
        <v>113</v>
      </c>
      <c r="F1" s="1" t="s">
        <v>5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92</v>
      </c>
      <c r="W1" s="1" t="s">
        <v>91</v>
      </c>
      <c r="X1" s="1" t="s">
        <v>10</v>
      </c>
      <c r="Y1" s="2" t="s">
        <v>270</v>
      </c>
      <c r="Z1" s="2" t="s">
        <v>273</v>
      </c>
      <c r="AA1" s="2" t="s">
        <v>276</v>
      </c>
      <c r="AB1" s="2" t="s">
        <v>274</v>
      </c>
      <c r="AC1" s="2" t="s">
        <v>275</v>
      </c>
      <c r="AD1" s="2" t="s">
        <v>277</v>
      </c>
    </row>
    <row r="2" spans="1:30" x14ac:dyDescent="0.45">
      <c r="A2" s="1">
        <v>0</v>
      </c>
      <c r="B2" t="s">
        <v>129</v>
      </c>
      <c r="D2">
        <v>0</v>
      </c>
      <c r="E2">
        <v>1</v>
      </c>
      <c r="F2">
        <v>25</v>
      </c>
      <c r="G2">
        <v>110</v>
      </c>
      <c r="H2">
        <v>20</v>
      </c>
      <c r="I2">
        <v>12.00107</v>
      </c>
      <c r="J2">
        <v>0.16</v>
      </c>
      <c r="K2">
        <v>0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  <c r="Y2" s="3" t="s">
        <v>271</v>
      </c>
      <c r="Z2">
        <v>19367</v>
      </c>
      <c r="AA2">
        <f>Z2*F2</f>
        <v>484175</v>
      </c>
      <c r="AB2" s="3">
        <v>40</v>
      </c>
      <c r="AC2" s="3">
        <f>5.58/100</f>
        <v>5.5800000000000002E-2</v>
      </c>
      <c r="AD2" s="4">
        <f>(AA2*AC2)/(1-((1+AC2)^-AB2))</f>
        <v>30491.642595767524</v>
      </c>
    </row>
    <row r="3" spans="1:30" x14ac:dyDescent="0.45">
      <c r="A3" s="1">
        <v>1</v>
      </c>
      <c r="B3" t="s">
        <v>130</v>
      </c>
      <c r="D3">
        <v>0</v>
      </c>
      <c r="E3">
        <v>12</v>
      </c>
      <c r="F3">
        <v>25</v>
      </c>
      <c r="G3">
        <v>110</v>
      </c>
      <c r="H3">
        <v>20</v>
      </c>
      <c r="I3">
        <v>12.00107</v>
      </c>
      <c r="J3">
        <v>0.16</v>
      </c>
      <c r="K3">
        <v>0</v>
      </c>
      <c r="L3">
        <v>0</v>
      </c>
      <c r="M3">
        <v>30</v>
      </c>
      <c r="U3" t="b">
        <v>0</v>
      </c>
      <c r="V3">
        <v>1</v>
      </c>
      <c r="W3">
        <v>1</v>
      </c>
      <c r="X3" t="b">
        <v>1</v>
      </c>
      <c r="Y3" s="3" t="s">
        <v>271</v>
      </c>
      <c r="Z3">
        <v>19367</v>
      </c>
      <c r="AA3">
        <f t="shared" ref="AA3" si="0">Z3*F3</f>
        <v>484175</v>
      </c>
      <c r="AB3" s="3">
        <v>40</v>
      </c>
      <c r="AC3" s="3">
        <f t="shared" ref="AC3" si="1">5.58/100</f>
        <v>5.5800000000000002E-2</v>
      </c>
      <c r="AD3" s="4">
        <f t="shared" ref="AD3" si="2">(AA3*AC3)/(1-((1+AC3)^-AB3))</f>
        <v>30491.642595767524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"/>
  <sheetViews>
    <sheetView topLeftCell="A25" workbookViewId="0">
      <selection activeCell="H57" sqref="H57"/>
    </sheetView>
  </sheetViews>
  <sheetFormatPr baseColWidth="10" defaultColWidth="9.1328125" defaultRowHeight="14.25" x14ac:dyDescent="0.45"/>
  <cols>
    <col min="1" max="1" width="32.265625" bestFit="1" customWidth="1"/>
  </cols>
  <sheetData>
    <row r="1" spans="1:8" x14ac:dyDescent="0.45">
      <c r="B1" s="1" t="s">
        <v>88</v>
      </c>
      <c r="C1" s="1" t="s">
        <v>86</v>
      </c>
      <c r="D1" s="1" t="s">
        <v>87</v>
      </c>
      <c r="E1" s="1" t="s">
        <v>90</v>
      </c>
      <c r="F1" s="1" t="s">
        <v>8</v>
      </c>
      <c r="G1" s="1" t="s">
        <v>131</v>
      </c>
      <c r="H1" s="1" t="s">
        <v>132</v>
      </c>
    </row>
    <row r="2" spans="1:8" x14ac:dyDescent="0.45">
      <c r="A2" s="1" t="s">
        <v>133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110</v>
      </c>
      <c r="G2">
        <v>50</v>
      </c>
      <c r="H2">
        <v>4.0299999999999997E-3</v>
      </c>
    </row>
    <row r="3" spans="1:8" x14ac:dyDescent="0.45">
      <c r="A3" s="1" t="s">
        <v>134</v>
      </c>
      <c r="B3">
        <v>264</v>
      </c>
      <c r="C3">
        <v>0.22500000000000001</v>
      </c>
      <c r="D3">
        <v>0.08</v>
      </c>
      <c r="E3">
        <v>0.24199999999999999</v>
      </c>
      <c r="F3" t="s">
        <v>110</v>
      </c>
      <c r="G3">
        <v>120</v>
      </c>
      <c r="H3">
        <v>4.0299999999999997E-3</v>
      </c>
    </row>
    <row r="4" spans="1:8" x14ac:dyDescent="0.45">
      <c r="A4" s="1" t="s">
        <v>135</v>
      </c>
      <c r="B4">
        <v>261</v>
      </c>
      <c r="C4">
        <v>0.20799999999999999</v>
      </c>
      <c r="D4">
        <v>0.08</v>
      </c>
      <c r="E4">
        <v>0.27</v>
      </c>
      <c r="F4" t="s">
        <v>110</v>
      </c>
      <c r="G4">
        <v>150</v>
      </c>
      <c r="H4">
        <v>4.0299999999999997E-3</v>
      </c>
    </row>
    <row r="5" spans="1:8" x14ac:dyDescent="0.45">
      <c r="A5" s="1" t="s">
        <v>136</v>
      </c>
      <c r="B5">
        <v>216</v>
      </c>
      <c r="C5">
        <v>0.313</v>
      </c>
      <c r="D5">
        <v>0.13200000000000001</v>
      </c>
      <c r="E5">
        <v>0.252</v>
      </c>
      <c r="F5" t="s">
        <v>110</v>
      </c>
      <c r="G5">
        <v>95</v>
      </c>
      <c r="H5">
        <v>4.0299999999999997E-3</v>
      </c>
    </row>
    <row r="6" spans="1:8" x14ac:dyDescent="0.45">
      <c r="A6" s="1" t="s">
        <v>137</v>
      </c>
      <c r="B6">
        <v>273</v>
      </c>
      <c r="C6">
        <v>0.161</v>
      </c>
      <c r="D6">
        <v>0.11700000000000001</v>
      </c>
      <c r="E6">
        <v>0.36199999999999999</v>
      </c>
      <c r="F6" t="s">
        <v>110</v>
      </c>
      <c r="G6">
        <v>185</v>
      </c>
      <c r="H6">
        <v>4.0299999999999997E-3</v>
      </c>
    </row>
    <row r="7" spans="1:8" x14ac:dyDescent="0.45">
      <c r="A7" s="1" t="s">
        <v>138</v>
      </c>
      <c r="B7">
        <v>304</v>
      </c>
      <c r="C7">
        <v>0.122</v>
      </c>
      <c r="D7">
        <v>0.112</v>
      </c>
      <c r="E7">
        <v>0.42099999999999999</v>
      </c>
      <c r="F7" t="s">
        <v>110</v>
      </c>
      <c r="G7">
        <v>240</v>
      </c>
      <c r="H7">
        <v>4.0299999999999997E-3</v>
      </c>
    </row>
    <row r="8" spans="1:8" x14ac:dyDescent="0.45">
      <c r="A8" s="1" t="s">
        <v>139</v>
      </c>
      <c r="B8">
        <v>315</v>
      </c>
      <c r="C8">
        <v>0.313</v>
      </c>
      <c r="D8">
        <v>0.123</v>
      </c>
      <c r="E8">
        <v>0.249</v>
      </c>
      <c r="F8" t="s">
        <v>110</v>
      </c>
      <c r="G8">
        <v>95</v>
      </c>
      <c r="H8">
        <v>4.0299999999999997E-3</v>
      </c>
    </row>
    <row r="9" spans="1:8" x14ac:dyDescent="0.45">
      <c r="A9" s="1" t="s">
        <v>140</v>
      </c>
      <c r="B9">
        <v>406</v>
      </c>
      <c r="C9">
        <v>0.161</v>
      </c>
      <c r="D9">
        <v>0.11</v>
      </c>
      <c r="E9">
        <v>0.35799999999999998</v>
      </c>
      <c r="F9" t="s">
        <v>110</v>
      </c>
      <c r="G9">
        <v>185</v>
      </c>
      <c r="H9">
        <v>4.0299999999999997E-3</v>
      </c>
    </row>
    <row r="10" spans="1:8" x14ac:dyDescent="0.45">
      <c r="A10" s="1" t="s">
        <v>141</v>
      </c>
      <c r="B10">
        <v>456</v>
      </c>
      <c r="C10">
        <v>0.122</v>
      </c>
      <c r="D10">
        <v>0.105</v>
      </c>
      <c r="E10">
        <v>0.41599999999999998</v>
      </c>
      <c r="F10" t="s">
        <v>110</v>
      </c>
      <c r="G10">
        <v>240</v>
      </c>
      <c r="H10">
        <v>4.0299999999999997E-3</v>
      </c>
    </row>
    <row r="11" spans="1:8" x14ac:dyDescent="0.45">
      <c r="A11" s="1" t="s">
        <v>142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110</v>
      </c>
      <c r="G11">
        <v>150</v>
      </c>
      <c r="H11">
        <v>4.0299999999999997E-3</v>
      </c>
    </row>
    <row r="12" spans="1:8" x14ac:dyDescent="0.45">
      <c r="A12" s="1" t="s">
        <v>143</v>
      </c>
      <c r="B12">
        <v>230</v>
      </c>
      <c r="C12">
        <v>0.253</v>
      </c>
      <c r="D12">
        <v>0.11899999999999999</v>
      </c>
      <c r="E12">
        <v>0.28299999999999997</v>
      </c>
      <c r="F12" t="s">
        <v>110</v>
      </c>
      <c r="G12">
        <v>120</v>
      </c>
      <c r="H12">
        <v>4.0299999999999997E-3</v>
      </c>
    </row>
    <row r="13" spans="1:8" x14ac:dyDescent="0.45">
      <c r="A13" s="1" t="s">
        <v>144</v>
      </c>
      <c r="B13">
        <v>190</v>
      </c>
      <c r="C13">
        <v>0.443</v>
      </c>
      <c r="D13">
        <v>0.13200000000000001</v>
      </c>
      <c r="E13">
        <v>0.22</v>
      </c>
      <c r="F13" t="s">
        <v>110</v>
      </c>
      <c r="G13">
        <v>70</v>
      </c>
      <c r="H13">
        <v>4.0299999999999997E-3</v>
      </c>
    </row>
    <row r="14" spans="1:8" x14ac:dyDescent="0.45">
      <c r="A14" s="1" t="s">
        <v>145</v>
      </c>
      <c r="B14">
        <v>360</v>
      </c>
      <c r="C14">
        <v>0.20599999999999999</v>
      </c>
      <c r="D14">
        <v>0.11</v>
      </c>
      <c r="E14">
        <v>0.315</v>
      </c>
      <c r="F14" t="s">
        <v>110</v>
      </c>
      <c r="G14">
        <v>150</v>
      </c>
      <c r="H14">
        <v>4.0299999999999997E-3</v>
      </c>
    </row>
    <row r="15" spans="1:8" x14ac:dyDescent="0.45">
      <c r="A15" s="1" t="s">
        <v>146</v>
      </c>
      <c r="B15">
        <v>340</v>
      </c>
      <c r="C15">
        <v>0.253</v>
      </c>
      <c r="D15">
        <v>0.113</v>
      </c>
      <c r="E15">
        <v>0.28000000000000003</v>
      </c>
      <c r="F15" t="s">
        <v>110</v>
      </c>
      <c r="G15">
        <v>120</v>
      </c>
      <c r="H15">
        <v>4.0299999999999997E-3</v>
      </c>
    </row>
    <row r="16" spans="1:8" x14ac:dyDescent="0.45">
      <c r="A16" s="1" t="s">
        <v>147</v>
      </c>
      <c r="B16">
        <v>280</v>
      </c>
      <c r="C16">
        <v>0.443</v>
      </c>
      <c r="D16">
        <v>0.123</v>
      </c>
      <c r="E16">
        <v>0.217</v>
      </c>
      <c r="F16" t="s">
        <v>110</v>
      </c>
      <c r="G16">
        <v>70</v>
      </c>
      <c r="H16">
        <v>4.0299999999999997E-3</v>
      </c>
    </row>
    <row r="17" spans="1:8" x14ac:dyDescent="0.45">
      <c r="A17" s="1" t="s">
        <v>148</v>
      </c>
      <c r="B17">
        <v>112</v>
      </c>
      <c r="C17">
        <v>0.153</v>
      </c>
      <c r="D17">
        <v>0.16600000000000001</v>
      </c>
      <c r="E17">
        <v>0.36599999999999999</v>
      </c>
      <c r="F17" t="s">
        <v>110</v>
      </c>
      <c r="G17">
        <v>120</v>
      </c>
      <c r="H17">
        <v>3.9300000000000003E-3</v>
      </c>
    </row>
    <row r="18" spans="1:8" x14ac:dyDescent="0.45">
      <c r="A18" s="1" t="s">
        <v>149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110</v>
      </c>
      <c r="G18">
        <v>185</v>
      </c>
      <c r="H18">
        <v>3.9300000000000003E-3</v>
      </c>
    </row>
    <row r="19" spans="1:8" x14ac:dyDescent="0.45">
      <c r="A19" s="1" t="s">
        <v>150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110</v>
      </c>
      <c r="G19">
        <v>240</v>
      </c>
      <c r="H19">
        <v>3.9300000000000003E-3</v>
      </c>
    </row>
    <row r="20" spans="1:8" x14ac:dyDescent="0.45">
      <c r="A20" s="1" t="s">
        <v>151</v>
      </c>
      <c r="B20">
        <v>144</v>
      </c>
      <c r="C20">
        <v>0.06</v>
      </c>
      <c r="D20">
        <v>0.14399999999999999</v>
      </c>
      <c r="E20">
        <v>0.58799999999999997</v>
      </c>
      <c r="F20" t="s">
        <v>110</v>
      </c>
      <c r="G20">
        <v>300</v>
      </c>
      <c r="H20">
        <v>3.9300000000000003E-3</v>
      </c>
    </row>
    <row r="21" spans="1:8" x14ac:dyDescent="0.45">
      <c r="A21" s="1" t="s">
        <v>152</v>
      </c>
      <c r="B21">
        <v>11</v>
      </c>
      <c r="C21">
        <v>1.8769</v>
      </c>
      <c r="D21">
        <v>0.35</v>
      </c>
      <c r="E21">
        <v>0.105</v>
      </c>
      <c r="F21" t="s">
        <v>111</v>
      </c>
      <c r="G21">
        <v>16</v>
      </c>
      <c r="H21">
        <v>4.0299999999999997E-3</v>
      </c>
    </row>
    <row r="22" spans="1:8" x14ac:dyDescent="0.45">
      <c r="A22" s="1" t="s">
        <v>153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111</v>
      </c>
      <c r="G22">
        <v>24</v>
      </c>
      <c r="H22">
        <v>4.0299999999999997E-3</v>
      </c>
    </row>
    <row r="23" spans="1:8" x14ac:dyDescent="0.45">
      <c r="A23" s="1" t="s">
        <v>154</v>
      </c>
      <c r="B23">
        <v>12.2</v>
      </c>
      <c r="C23">
        <v>0.59389999999999998</v>
      </c>
      <c r="D23">
        <v>0.3</v>
      </c>
      <c r="E23">
        <v>0.21</v>
      </c>
      <c r="F23" t="s">
        <v>111</v>
      </c>
      <c r="G23">
        <v>48</v>
      </c>
      <c r="H23">
        <v>4.0299999999999997E-3</v>
      </c>
    </row>
    <row r="24" spans="1:8" x14ac:dyDescent="0.45">
      <c r="A24" s="1" t="s">
        <v>155</v>
      </c>
      <c r="B24">
        <v>13.2</v>
      </c>
      <c r="C24">
        <v>0.30599999999999999</v>
      </c>
      <c r="D24">
        <v>0.28999999999999998</v>
      </c>
      <c r="E24">
        <v>0.35</v>
      </c>
      <c r="F24" t="s">
        <v>111</v>
      </c>
      <c r="G24">
        <v>94</v>
      </c>
      <c r="H24">
        <v>4.0299999999999997E-3</v>
      </c>
    </row>
    <row r="25" spans="1:8" x14ac:dyDescent="0.45">
      <c r="A25" s="1" t="s">
        <v>156</v>
      </c>
      <c r="B25">
        <v>9.6999999999999993</v>
      </c>
      <c r="C25">
        <v>0.83420000000000005</v>
      </c>
      <c r="D25">
        <v>0.36</v>
      </c>
      <c r="E25">
        <v>0.17</v>
      </c>
      <c r="F25" t="s">
        <v>111</v>
      </c>
      <c r="G25">
        <v>34</v>
      </c>
      <c r="H25">
        <v>4.0299999999999997E-3</v>
      </c>
    </row>
    <row r="26" spans="1:8" x14ac:dyDescent="0.45">
      <c r="A26" s="1" t="s">
        <v>157</v>
      </c>
      <c r="B26">
        <v>10.1</v>
      </c>
      <c r="C26">
        <v>0.59389999999999998</v>
      </c>
      <c r="D26">
        <v>0.35</v>
      </c>
      <c r="E26">
        <v>0.21</v>
      </c>
      <c r="F26" t="s">
        <v>111</v>
      </c>
      <c r="G26">
        <v>48</v>
      </c>
      <c r="H26">
        <v>4.0299999999999997E-3</v>
      </c>
    </row>
    <row r="27" spans="1:8" x14ac:dyDescent="0.45">
      <c r="A27" s="1" t="s">
        <v>158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111</v>
      </c>
      <c r="G27">
        <v>70</v>
      </c>
      <c r="H27">
        <v>4.0299999999999997E-3</v>
      </c>
    </row>
    <row r="28" spans="1:8" x14ac:dyDescent="0.45">
      <c r="A28" s="1" t="s">
        <v>159</v>
      </c>
      <c r="B28">
        <v>10.75</v>
      </c>
      <c r="C28">
        <v>0.30599999999999999</v>
      </c>
      <c r="D28">
        <v>0.33</v>
      </c>
      <c r="E28">
        <v>0.35</v>
      </c>
      <c r="F28" t="s">
        <v>111</v>
      </c>
      <c r="G28">
        <v>94</v>
      </c>
      <c r="H28">
        <v>4.0299999999999997E-3</v>
      </c>
    </row>
    <row r="29" spans="1:8" x14ac:dyDescent="0.45">
      <c r="A29" s="1" t="s">
        <v>160</v>
      </c>
      <c r="B29">
        <v>11.1</v>
      </c>
      <c r="C29">
        <v>0.23760000000000001</v>
      </c>
      <c r="D29">
        <v>0.32300000000000001</v>
      </c>
      <c r="E29">
        <v>0.41</v>
      </c>
      <c r="F29" t="s">
        <v>111</v>
      </c>
      <c r="G29">
        <v>122</v>
      </c>
      <c r="H29">
        <v>4.0299999999999997E-3</v>
      </c>
    </row>
    <row r="30" spans="1:8" x14ac:dyDescent="0.45">
      <c r="A30" s="1" t="s">
        <v>161</v>
      </c>
      <c r="B30">
        <v>11.25</v>
      </c>
      <c r="C30">
        <v>0.19400000000000001</v>
      </c>
      <c r="D30">
        <v>0.315</v>
      </c>
      <c r="E30">
        <v>0.47</v>
      </c>
      <c r="F30" t="s">
        <v>111</v>
      </c>
      <c r="G30">
        <v>149</v>
      </c>
      <c r="H30">
        <v>4.0299999999999997E-3</v>
      </c>
    </row>
    <row r="31" spans="1:8" x14ac:dyDescent="0.45">
      <c r="A31" s="1" t="s">
        <v>162</v>
      </c>
      <c r="B31">
        <v>9.15</v>
      </c>
      <c r="C31">
        <v>0.83420000000000005</v>
      </c>
      <c r="D31">
        <v>0.38200000000000001</v>
      </c>
      <c r="E31">
        <v>0.17</v>
      </c>
      <c r="F31" t="s">
        <v>111</v>
      </c>
      <c r="G31">
        <v>34</v>
      </c>
      <c r="H31">
        <v>4.0299999999999997E-3</v>
      </c>
    </row>
    <row r="32" spans="1:8" x14ac:dyDescent="0.45">
      <c r="A32" s="1" t="s">
        <v>163</v>
      </c>
      <c r="B32">
        <v>9.5</v>
      </c>
      <c r="C32">
        <v>0.59389999999999998</v>
      </c>
      <c r="D32">
        <v>0.372</v>
      </c>
      <c r="E32">
        <v>0.21</v>
      </c>
      <c r="F32" t="s">
        <v>111</v>
      </c>
      <c r="G32">
        <v>48</v>
      </c>
      <c r="H32">
        <v>4.0299999999999997E-3</v>
      </c>
    </row>
    <row r="33" spans="1:8" x14ac:dyDescent="0.45">
      <c r="A33" s="1" t="s">
        <v>164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111</v>
      </c>
      <c r="G33">
        <v>70</v>
      </c>
      <c r="H33">
        <v>4.0299999999999997E-3</v>
      </c>
    </row>
    <row r="34" spans="1:8" x14ac:dyDescent="0.45">
      <c r="A34" s="1" t="s">
        <v>165</v>
      </c>
      <c r="B34">
        <v>10</v>
      </c>
      <c r="C34">
        <v>0.30599999999999999</v>
      </c>
      <c r="D34">
        <v>0.35</v>
      </c>
      <c r="E34">
        <v>0.35</v>
      </c>
      <c r="F34" t="s">
        <v>111</v>
      </c>
      <c r="G34">
        <v>94</v>
      </c>
      <c r="H34">
        <v>4.0299999999999997E-3</v>
      </c>
    </row>
    <row r="35" spans="1:8" x14ac:dyDescent="0.45">
      <c r="A35" s="1" t="s">
        <v>166</v>
      </c>
      <c r="B35">
        <v>10.3</v>
      </c>
      <c r="C35">
        <v>0.23760000000000001</v>
      </c>
      <c r="D35">
        <v>0.34399999999999997</v>
      </c>
      <c r="E35">
        <v>0.41</v>
      </c>
      <c r="F35" t="s">
        <v>111</v>
      </c>
      <c r="G35">
        <v>122</v>
      </c>
      <c r="H35">
        <v>4.0299999999999997E-3</v>
      </c>
    </row>
    <row r="36" spans="1:8" x14ac:dyDescent="0.45">
      <c r="A36" s="1" t="s">
        <v>167</v>
      </c>
      <c r="B36">
        <v>10.5</v>
      </c>
      <c r="C36">
        <v>0.19400000000000001</v>
      </c>
      <c r="D36">
        <v>0.33700000000000002</v>
      </c>
      <c r="E36">
        <v>0.47</v>
      </c>
      <c r="F36" t="s">
        <v>111</v>
      </c>
      <c r="G36">
        <v>149</v>
      </c>
      <c r="H36">
        <v>4.0299999999999997E-3</v>
      </c>
    </row>
    <row r="37" spans="1:8" x14ac:dyDescent="0.45">
      <c r="A37" s="1" t="s">
        <v>168</v>
      </c>
      <c r="B37">
        <v>10.75</v>
      </c>
      <c r="C37">
        <v>0.15709999999999999</v>
      </c>
      <c r="D37">
        <v>0.33</v>
      </c>
      <c r="E37">
        <v>0.53500000000000003</v>
      </c>
      <c r="F37" t="s">
        <v>111</v>
      </c>
      <c r="G37">
        <v>184</v>
      </c>
      <c r="H37">
        <v>4.0299999999999997E-3</v>
      </c>
    </row>
    <row r="38" spans="1:8" x14ac:dyDescent="0.45">
      <c r="A38" s="1" t="s">
        <v>169</v>
      </c>
      <c r="B38">
        <v>11</v>
      </c>
      <c r="C38">
        <v>0.1188</v>
      </c>
      <c r="D38">
        <v>0.32</v>
      </c>
      <c r="E38">
        <v>0.64500000000000002</v>
      </c>
      <c r="F38" t="s">
        <v>111</v>
      </c>
      <c r="G38">
        <v>243</v>
      </c>
      <c r="H38">
        <v>4.0299999999999997E-3</v>
      </c>
    </row>
    <row r="39" spans="1:8" x14ac:dyDescent="0.45">
      <c r="A39" s="1" t="s">
        <v>170</v>
      </c>
      <c r="B39">
        <v>8</v>
      </c>
      <c r="C39">
        <v>0.59389999999999998</v>
      </c>
      <c r="D39">
        <v>0.46</v>
      </c>
      <c r="E39">
        <v>0.21</v>
      </c>
      <c r="F39" t="s">
        <v>111</v>
      </c>
      <c r="G39">
        <v>48</v>
      </c>
      <c r="H39">
        <v>4.0299999999999997E-3</v>
      </c>
    </row>
    <row r="40" spans="1:8" x14ac:dyDescent="0.45">
      <c r="A40" s="1" t="s">
        <v>171</v>
      </c>
      <c r="B40">
        <v>8.4</v>
      </c>
      <c r="C40">
        <v>0.41320000000000001</v>
      </c>
      <c r="D40">
        <v>0.45</v>
      </c>
      <c r="E40">
        <v>0.28999999999999998</v>
      </c>
      <c r="F40" t="s">
        <v>111</v>
      </c>
      <c r="G40">
        <v>70</v>
      </c>
      <c r="H40">
        <v>4.0299999999999997E-3</v>
      </c>
    </row>
    <row r="41" spans="1:8" x14ac:dyDescent="0.45">
      <c r="A41" s="1" t="s">
        <v>172</v>
      </c>
      <c r="B41">
        <v>8.65</v>
      </c>
      <c r="C41">
        <v>0.30599999999999999</v>
      </c>
      <c r="D41">
        <v>0.44</v>
      </c>
      <c r="E41">
        <v>0.35</v>
      </c>
      <c r="F41" t="s">
        <v>111</v>
      </c>
      <c r="G41">
        <v>94</v>
      </c>
      <c r="H41">
        <v>4.0299999999999997E-3</v>
      </c>
    </row>
    <row r="42" spans="1:8" x14ac:dyDescent="0.45">
      <c r="A42" s="1" t="s">
        <v>173</v>
      </c>
      <c r="B42">
        <v>8.5</v>
      </c>
      <c r="C42">
        <v>0.23760000000000001</v>
      </c>
      <c r="D42">
        <v>0.43</v>
      </c>
      <c r="E42">
        <v>0.41</v>
      </c>
      <c r="F42" t="s">
        <v>111</v>
      </c>
      <c r="G42">
        <v>122</v>
      </c>
      <c r="H42">
        <v>4.0299999999999997E-3</v>
      </c>
    </row>
    <row r="43" spans="1:8" x14ac:dyDescent="0.45">
      <c r="A43" s="1" t="s">
        <v>174</v>
      </c>
      <c r="B43">
        <v>8.75</v>
      </c>
      <c r="C43">
        <v>0.19400000000000001</v>
      </c>
      <c r="D43">
        <v>0.41</v>
      </c>
      <c r="E43">
        <v>0.47</v>
      </c>
      <c r="F43" t="s">
        <v>111</v>
      </c>
      <c r="G43">
        <v>149</v>
      </c>
      <c r="H43">
        <v>4.0299999999999997E-3</v>
      </c>
    </row>
    <row r="44" spans="1:8" x14ac:dyDescent="0.45">
      <c r="A44" s="1" t="s">
        <v>175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111</v>
      </c>
      <c r="G44">
        <v>184</v>
      </c>
      <c r="H44">
        <v>4.0299999999999997E-3</v>
      </c>
    </row>
    <row r="45" spans="1:8" x14ac:dyDescent="0.45">
      <c r="A45" s="1" t="s">
        <v>176</v>
      </c>
      <c r="B45">
        <v>9</v>
      </c>
      <c r="C45">
        <v>0.1188</v>
      </c>
      <c r="D45">
        <v>0.39</v>
      </c>
      <c r="E45">
        <v>0.64500000000000002</v>
      </c>
      <c r="F45" t="s">
        <v>111</v>
      </c>
      <c r="G45">
        <v>243</v>
      </c>
      <c r="H45">
        <v>4.0299999999999997E-3</v>
      </c>
    </row>
    <row r="46" spans="1:8" x14ac:dyDescent="0.45">
      <c r="A46" s="1" t="s">
        <v>177</v>
      </c>
      <c r="B46">
        <v>9.1999999999999993</v>
      </c>
      <c r="C46">
        <v>9.4899999999999998E-2</v>
      </c>
      <c r="D46">
        <v>0.38</v>
      </c>
      <c r="E46">
        <v>0.74</v>
      </c>
      <c r="F46" t="s">
        <v>111</v>
      </c>
      <c r="G46">
        <v>305</v>
      </c>
      <c r="H46">
        <v>4.0299999999999997E-3</v>
      </c>
    </row>
    <row r="47" spans="1:8" x14ac:dyDescent="0.45">
      <c r="A47" s="1" t="s">
        <v>178</v>
      </c>
      <c r="B47">
        <v>9.75</v>
      </c>
      <c r="C47">
        <v>5.8999999999999997E-2</v>
      </c>
      <c r="D47">
        <v>0.37</v>
      </c>
      <c r="E47">
        <v>0.96</v>
      </c>
      <c r="F47" t="s">
        <v>111</v>
      </c>
      <c r="G47">
        <v>490</v>
      </c>
      <c r="H47">
        <v>4.0299999999999997E-3</v>
      </c>
    </row>
    <row r="48" spans="1:8" x14ac:dyDescent="0.45">
      <c r="A48" s="1" t="s">
        <v>179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111</v>
      </c>
      <c r="G48">
        <v>679</v>
      </c>
      <c r="H48">
        <v>4.0299999999999997E-3</v>
      </c>
    </row>
    <row r="49" spans="1:8" x14ac:dyDescent="0.45">
      <c r="A49" s="1" t="s">
        <v>180</v>
      </c>
      <c r="B49">
        <v>10</v>
      </c>
      <c r="C49">
        <v>5.8999999999999997E-2</v>
      </c>
      <c r="D49">
        <v>0.28499999999999998</v>
      </c>
      <c r="E49">
        <v>0.96</v>
      </c>
      <c r="F49" t="s">
        <v>111</v>
      </c>
      <c r="G49">
        <v>490</v>
      </c>
      <c r="H49">
        <v>4.0299999999999997E-3</v>
      </c>
    </row>
    <row r="50" spans="1:8" x14ac:dyDescent="0.45">
      <c r="A50" s="1" t="s">
        <v>181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111</v>
      </c>
      <c r="G50">
        <v>679</v>
      </c>
      <c r="H50">
        <v>4.0299999999999997E-3</v>
      </c>
    </row>
    <row r="51" spans="1:8" x14ac:dyDescent="0.45">
      <c r="A51" s="1" t="s">
        <v>182</v>
      </c>
      <c r="B51">
        <v>11</v>
      </c>
      <c r="C51">
        <v>5.8999999999999997E-2</v>
      </c>
      <c r="D51">
        <v>0.253</v>
      </c>
      <c r="E51">
        <v>0.96</v>
      </c>
      <c r="F51" t="s">
        <v>111</v>
      </c>
      <c r="G51">
        <v>490</v>
      </c>
      <c r="H51">
        <v>4.0299999999999997E-3</v>
      </c>
    </row>
    <row r="52" spans="1:8" x14ac:dyDescent="0.45">
      <c r="A52" s="1" t="s">
        <v>183</v>
      </c>
      <c r="B52">
        <v>14.6</v>
      </c>
      <c r="C52">
        <v>4.2000000000000003E-2</v>
      </c>
      <c r="D52">
        <v>0.25</v>
      </c>
      <c r="E52">
        <v>1.1499999999999999</v>
      </c>
      <c r="F52" t="s">
        <v>111</v>
      </c>
      <c r="G52">
        <v>679</v>
      </c>
      <c r="H52">
        <v>4.0299999999999997E-3</v>
      </c>
    </row>
    <row r="53" spans="1:8" x14ac:dyDescent="0.45">
      <c r="A53" s="1" t="s">
        <v>108</v>
      </c>
      <c r="B53">
        <v>151.17490000000001</v>
      </c>
      <c r="C53">
        <v>0.501</v>
      </c>
      <c r="D53">
        <v>0.71599999999999997</v>
      </c>
      <c r="E53">
        <v>0.14499999999999999</v>
      </c>
      <c r="F53" t="s">
        <v>110</v>
      </c>
    </row>
    <row r="54" spans="1:8" x14ac:dyDescent="0.45">
      <c r="A54" s="1" t="s">
        <v>109</v>
      </c>
      <c r="B54">
        <v>10.09679</v>
      </c>
      <c r="C54">
        <v>0.51</v>
      </c>
      <c r="D54">
        <v>0.36599999999999999</v>
      </c>
      <c r="E54">
        <v>0.19500000000000001</v>
      </c>
      <c r="F54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workbookViewId="0"/>
  </sheetViews>
  <sheetFormatPr baseColWidth="10" defaultColWidth="9.1328125" defaultRowHeight="14.25" x14ac:dyDescent="0.45"/>
  <sheetData>
    <row r="1" spans="1:17" x14ac:dyDescent="0.45">
      <c r="B1" s="1" t="s">
        <v>119</v>
      </c>
      <c r="C1" s="1" t="s">
        <v>118</v>
      </c>
      <c r="D1" s="1" t="s">
        <v>117</v>
      </c>
      <c r="E1" s="1" t="s">
        <v>5</v>
      </c>
      <c r="F1" s="1" t="s">
        <v>115</v>
      </c>
      <c r="G1" s="1" t="s">
        <v>114</v>
      </c>
      <c r="H1" s="1" t="s">
        <v>116</v>
      </c>
      <c r="I1" s="1" t="s">
        <v>120</v>
      </c>
      <c r="J1" s="1" t="s">
        <v>184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126</v>
      </c>
      <c r="P1" s="1" t="s">
        <v>125</v>
      </c>
      <c r="Q1" s="1" t="s">
        <v>128</v>
      </c>
    </row>
    <row r="2" spans="1:17" x14ac:dyDescent="0.45">
      <c r="A2" s="1" t="s">
        <v>185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199</v>
      </c>
      <c r="K2" t="s">
        <v>203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45">
      <c r="A3" s="1" t="s">
        <v>186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199</v>
      </c>
      <c r="K3" t="s">
        <v>203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45">
      <c r="A4" s="1" t="s">
        <v>187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200</v>
      </c>
      <c r="K4" t="s">
        <v>203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45">
      <c r="A5" s="1" t="s">
        <v>188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200</v>
      </c>
      <c r="K5" t="s">
        <v>203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45">
      <c r="A6" s="1" t="s">
        <v>189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200</v>
      </c>
      <c r="K6" t="s">
        <v>203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45">
      <c r="A7" s="1" t="s">
        <v>190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200</v>
      </c>
      <c r="K7" t="s">
        <v>203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45">
      <c r="A8" s="1" t="s">
        <v>191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200</v>
      </c>
      <c r="K8" t="s">
        <v>203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45">
      <c r="A9" s="1" t="s">
        <v>192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200</v>
      </c>
      <c r="K9" t="s">
        <v>203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45">
      <c r="A10" s="1" t="s">
        <v>193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201</v>
      </c>
      <c r="K10" t="s">
        <v>203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45">
      <c r="A11" s="1" t="s">
        <v>194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202</v>
      </c>
      <c r="K11" t="s">
        <v>203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45">
      <c r="A12" s="1" t="s">
        <v>195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202</v>
      </c>
      <c r="K12" t="s">
        <v>203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45">
      <c r="A13" s="1" t="s">
        <v>196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202</v>
      </c>
      <c r="K13" t="s">
        <v>203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45">
      <c r="A14" s="1" t="s">
        <v>197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202</v>
      </c>
      <c r="K14" t="s">
        <v>203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45">
      <c r="A15" s="1" t="s">
        <v>198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202</v>
      </c>
      <c r="K15" t="s">
        <v>203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"/>
  <sheetViews>
    <sheetView workbookViewId="0">
      <selection activeCell="A37" sqref="A37"/>
    </sheetView>
  </sheetViews>
  <sheetFormatPr baseColWidth="10" defaultColWidth="9.1328125" defaultRowHeight="14.25" x14ac:dyDescent="0.45"/>
  <cols>
    <col min="1" max="1" width="34" customWidth="1"/>
  </cols>
  <sheetData>
    <row r="1" spans="1:23" x14ac:dyDescent="0.45">
      <c r="B1" s="1" t="s">
        <v>204</v>
      </c>
      <c r="C1" s="1" t="s">
        <v>205</v>
      </c>
      <c r="D1" s="1" t="s">
        <v>206</v>
      </c>
      <c r="E1" s="1" t="s">
        <v>114</v>
      </c>
      <c r="F1" s="1" t="s">
        <v>207</v>
      </c>
      <c r="G1" s="1" t="s">
        <v>115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118</v>
      </c>
      <c r="O1" s="1" t="s">
        <v>119</v>
      </c>
      <c r="P1" s="1" t="s">
        <v>214</v>
      </c>
      <c r="Q1" s="1" t="s">
        <v>215</v>
      </c>
      <c r="R1" s="1" t="s">
        <v>184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</row>
    <row r="2" spans="1:23" x14ac:dyDescent="0.45">
      <c r="A2" s="1" t="s">
        <v>216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218</v>
      </c>
      <c r="S2" t="s">
        <v>203</v>
      </c>
      <c r="T2">
        <v>0</v>
      </c>
      <c r="U2">
        <v>-10</v>
      </c>
      <c r="V2">
        <v>10</v>
      </c>
      <c r="W2">
        <v>1.2</v>
      </c>
    </row>
    <row r="3" spans="1:23" x14ac:dyDescent="0.45">
      <c r="A3" s="1" t="s">
        <v>217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218</v>
      </c>
      <c r="S3" t="s">
        <v>203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/>
  </sheetViews>
  <sheetFormatPr baseColWidth="10" defaultColWidth="9.1328125" defaultRowHeight="14.25" x14ac:dyDescent="0.45"/>
  <sheetData>
    <row r="1" spans="1:5" x14ac:dyDescent="0.45">
      <c r="B1" s="1" t="s">
        <v>75</v>
      </c>
      <c r="C1" s="1" t="s">
        <v>76</v>
      </c>
      <c r="D1" s="1" t="s">
        <v>29</v>
      </c>
      <c r="E1" s="1" t="s">
        <v>30</v>
      </c>
    </row>
    <row r="2" spans="1:5" x14ac:dyDescent="0.45">
      <c r="A2" s="1">
        <v>0</v>
      </c>
      <c r="B2">
        <v>1.03</v>
      </c>
      <c r="C2">
        <v>0</v>
      </c>
      <c r="D2">
        <v>-43.196501639064351</v>
      </c>
      <c r="E2">
        <v>-15.696168749994129</v>
      </c>
    </row>
    <row r="3" spans="1:5" x14ac:dyDescent="0.45">
      <c r="A3" s="1">
        <v>1</v>
      </c>
      <c r="B3">
        <v>0.99413344102673662</v>
      </c>
      <c r="C3">
        <v>-6.0450871741908916</v>
      </c>
      <c r="D3">
        <v>19.838999999999999</v>
      </c>
      <c r="E3">
        <v>4.6371360471378562</v>
      </c>
    </row>
    <row r="4" spans="1:5" x14ac:dyDescent="0.45">
      <c r="A4" s="1">
        <v>2</v>
      </c>
      <c r="B4">
        <v>0.97780447053124286</v>
      </c>
      <c r="C4">
        <v>-6.5730266777891364</v>
      </c>
      <c r="D4">
        <v>0</v>
      </c>
      <c r="E4">
        <v>0</v>
      </c>
    </row>
    <row r="5" spans="1:5" x14ac:dyDescent="0.45">
      <c r="A5" s="1">
        <v>3</v>
      </c>
      <c r="B5">
        <v>0.95184770909803074</v>
      </c>
      <c r="C5">
        <v>-7.4148769661043374</v>
      </c>
      <c r="D5">
        <v>0.48170000000000002</v>
      </c>
      <c r="E5">
        <v>0.20888231317781519</v>
      </c>
    </row>
    <row r="6" spans="1:5" x14ac:dyDescent="0.45">
      <c r="A6" s="1">
        <v>4</v>
      </c>
      <c r="B6">
        <v>0.95009368126625882</v>
      </c>
      <c r="C6">
        <v>-7.5089220646687629</v>
      </c>
      <c r="D6">
        <v>0.41165000000000163</v>
      </c>
      <c r="E6">
        <v>0.10818168745217439</v>
      </c>
    </row>
    <row r="7" spans="1:5" x14ac:dyDescent="0.45">
      <c r="A7" s="1">
        <v>5</v>
      </c>
      <c r="B7">
        <v>0.94889266053027455</v>
      </c>
      <c r="C7">
        <v>-7.573677996309744</v>
      </c>
      <c r="D7">
        <v>0.69749999999999801</v>
      </c>
      <c r="E7">
        <v>0.18232868671714811</v>
      </c>
    </row>
    <row r="8" spans="1:5" x14ac:dyDescent="0.45">
      <c r="A8" s="1">
        <v>6</v>
      </c>
      <c r="B8">
        <v>0.94748769749329753</v>
      </c>
      <c r="C8">
        <v>-7.6499189995736661</v>
      </c>
      <c r="D8">
        <v>0.51804999999999879</v>
      </c>
      <c r="E8">
        <v>0.1373542773269181</v>
      </c>
    </row>
    <row r="9" spans="1:5" x14ac:dyDescent="0.45">
      <c r="A9" s="1">
        <v>7</v>
      </c>
      <c r="B9">
        <v>0.95219913773651987</v>
      </c>
      <c r="C9">
        <v>-7.1400437163292887</v>
      </c>
      <c r="D9">
        <v>-1.4235000000000011</v>
      </c>
      <c r="E9">
        <v>4.7410441887837607E-2</v>
      </c>
    </row>
    <row r="10" spans="1:5" x14ac:dyDescent="0.45">
      <c r="A10" s="1">
        <v>8</v>
      </c>
      <c r="B10">
        <v>0.94918671792455955</v>
      </c>
      <c r="C10">
        <v>-7.4141796318134094</v>
      </c>
      <c r="D10">
        <v>0.55684999999999718</v>
      </c>
      <c r="E10">
        <v>0.14707847395183291</v>
      </c>
    </row>
    <row r="11" spans="1:5" x14ac:dyDescent="0.45">
      <c r="A11" s="1">
        <v>9</v>
      </c>
      <c r="B11">
        <v>0.94826364230703064</v>
      </c>
      <c r="C11">
        <v>-7.449484251899424</v>
      </c>
      <c r="D11">
        <v>0.54374999999999929</v>
      </c>
      <c r="E11">
        <v>0.35557831415878027</v>
      </c>
    </row>
    <row r="12" spans="1:5" x14ac:dyDescent="0.45">
      <c r="A12" s="1">
        <v>10</v>
      </c>
      <c r="B12">
        <v>0.94709973899100564</v>
      </c>
      <c r="C12">
        <v>-7.5081156452035342</v>
      </c>
      <c r="D12">
        <v>0.50330000000000297</v>
      </c>
      <c r="E12">
        <v>0.16126402366661449</v>
      </c>
    </row>
    <row r="13" spans="1:5" x14ac:dyDescent="0.45">
      <c r="A13" s="1">
        <v>11</v>
      </c>
      <c r="B13">
        <v>0.94691553073024304</v>
      </c>
      <c r="C13">
        <v>-7.518296352745681</v>
      </c>
      <c r="D13">
        <v>0.3197999999999972</v>
      </c>
      <c r="E13">
        <v>8.2655671311774093E-2</v>
      </c>
    </row>
    <row r="14" spans="1:5" x14ac:dyDescent="0.45">
      <c r="A14" s="1">
        <v>12</v>
      </c>
      <c r="B14">
        <v>1.000146252976285</v>
      </c>
      <c r="C14">
        <v>-5.4870997577667673</v>
      </c>
      <c r="D14">
        <v>20.010000000000002</v>
      </c>
      <c r="E14">
        <v>4.6933410291234416</v>
      </c>
    </row>
    <row r="15" spans="1:5" x14ac:dyDescent="0.45">
      <c r="A15" s="1">
        <v>13</v>
      </c>
      <c r="B15">
        <v>0.99532558607326915</v>
      </c>
      <c r="C15">
        <v>-5.5382367158125696</v>
      </c>
      <c r="D15">
        <v>3.399999999999892E-2</v>
      </c>
      <c r="E15">
        <v>2.1071307505705409E-2</v>
      </c>
    </row>
    <row r="16" spans="1:5" x14ac:dyDescent="0.45">
      <c r="A16" s="1">
        <v>14</v>
      </c>
      <c r="B16">
        <v>0.99255288775072459</v>
      </c>
      <c r="C16">
        <v>-5.5679127697897748</v>
      </c>
      <c r="D16">
        <v>0.54005000000000081</v>
      </c>
      <c r="E16">
        <v>0.25771280503954408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6"/>
  <sheetViews>
    <sheetView workbookViewId="0"/>
  </sheetViews>
  <sheetFormatPr baseColWidth="10" defaultColWidth="9.1328125" defaultRowHeight="14.25" x14ac:dyDescent="0.45"/>
  <sheetData>
    <row r="1" spans="1:15" x14ac:dyDescent="0.45"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</row>
    <row r="2" spans="1:15" x14ac:dyDescent="0.45">
      <c r="A2" s="1">
        <v>0</v>
      </c>
      <c r="B2">
        <v>2.705635643128832</v>
      </c>
      <c r="C2">
        <v>1.304404271495192</v>
      </c>
      <c r="D2">
        <v>-2.673143192744722</v>
      </c>
      <c r="E2">
        <v>-1.3100508269536419</v>
      </c>
      <c r="F2">
        <v>3.2492450384109972E-2</v>
      </c>
      <c r="G2">
        <v>-5.6465554584501643E-3</v>
      </c>
      <c r="H2">
        <v>8.7219689157287283E-2</v>
      </c>
      <c r="I2">
        <v>8.7886356365881893E-2</v>
      </c>
      <c r="J2">
        <v>8.7886356365881893E-2</v>
      </c>
      <c r="K2">
        <v>0.99413344102673662</v>
      </c>
      <c r="L2">
        <v>-6.0450871741908916</v>
      </c>
      <c r="M2">
        <v>0.97780447053124286</v>
      </c>
      <c r="N2">
        <v>-6.5730266777891364</v>
      </c>
      <c r="O2">
        <v>60.611280252332342</v>
      </c>
    </row>
    <row r="3" spans="1:15" x14ac:dyDescent="0.45">
      <c r="A3" s="1">
        <v>1</v>
      </c>
      <c r="B3">
        <v>2.67314319274471</v>
      </c>
      <c r="C3">
        <v>1.310050826953657</v>
      </c>
      <c r="D3">
        <v>-2.621212269794797</v>
      </c>
      <c r="E3">
        <v>-1.3140128843353269</v>
      </c>
      <c r="F3">
        <v>5.1930922949912972E-2</v>
      </c>
      <c r="G3">
        <v>-3.9620573816698812E-3</v>
      </c>
      <c r="H3">
        <v>8.7886356365881782E-2</v>
      </c>
      <c r="I3">
        <v>8.892524305514346E-2</v>
      </c>
      <c r="J3">
        <v>8.892524305514346E-2</v>
      </c>
      <c r="K3">
        <v>0.97780447053124286</v>
      </c>
      <c r="L3">
        <v>-6.5730266777891364</v>
      </c>
      <c r="M3">
        <v>0.95184770909803074</v>
      </c>
      <c r="N3">
        <v>-7.4148769661043374</v>
      </c>
      <c r="O3">
        <v>61.327753831133421</v>
      </c>
    </row>
    <row r="4" spans="1:15" x14ac:dyDescent="0.45">
      <c r="A4" s="1">
        <v>2</v>
      </c>
      <c r="B4">
        <v>1.631394949832468</v>
      </c>
      <c r="C4">
        <v>0.38339323001664949</v>
      </c>
      <c r="D4">
        <v>-1.6290232264370019</v>
      </c>
      <c r="E4">
        <v>-0.39048352607546011</v>
      </c>
      <c r="F4">
        <v>2.371723395465652E-3</v>
      </c>
      <c r="G4">
        <v>-7.090296058810619E-3</v>
      </c>
      <c r="H4">
        <v>5.0824658763404931E-2</v>
      </c>
      <c r="I4">
        <v>5.0898126578776043E-2</v>
      </c>
      <c r="J4">
        <v>5.0898126578776043E-2</v>
      </c>
      <c r="K4">
        <v>0.95184770909803074</v>
      </c>
      <c r="L4">
        <v>-7.4148769661043374</v>
      </c>
      <c r="M4">
        <v>0.95009368126625882</v>
      </c>
      <c r="N4">
        <v>-7.5089220646687629</v>
      </c>
      <c r="O4">
        <v>35.102156261224863</v>
      </c>
    </row>
    <row r="5" spans="1:15" x14ac:dyDescent="0.45">
      <c r="A5" s="1">
        <v>3</v>
      </c>
      <c r="B5">
        <v>1.217373226436989</v>
      </c>
      <c r="C5">
        <v>0.28230183862315272</v>
      </c>
      <c r="D5">
        <v>-1.216157634235042</v>
      </c>
      <c r="E5">
        <v>-0.29015553109518322</v>
      </c>
      <c r="F5">
        <v>1.2155922019474459E-3</v>
      </c>
      <c r="G5">
        <v>-7.8536924720304935E-3</v>
      </c>
      <c r="H5">
        <v>3.7970002537662369E-2</v>
      </c>
      <c r="I5">
        <v>3.8036774136022682E-2</v>
      </c>
      <c r="J5">
        <v>3.8036774136022682E-2</v>
      </c>
      <c r="K5">
        <v>0.95009368126625882</v>
      </c>
      <c r="L5">
        <v>-7.5089220646687629</v>
      </c>
      <c r="M5">
        <v>0.94889266053027455</v>
      </c>
      <c r="N5">
        <v>-7.573677996309744</v>
      </c>
      <c r="O5">
        <v>26.23225802484323</v>
      </c>
    </row>
    <row r="6" spans="1:15" x14ac:dyDescent="0.45">
      <c r="A6" s="1">
        <v>4</v>
      </c>
      <c r="B6">
        <v>0.51865763423502165</v>
      </c>
      <c r="C6">
        <v>0.1078268443780114</v>
      </c>
      <c r="D6">
        <v>-0.51805000140243762</v>
      </c>
      <c r="E6">
        <v>-0.13326121679229411</v>
      </c>
      <c r="F6">
        <v>6.0763283258402634E-4</v>
      </c>
      <c r="G6">
        <v>-2.5434372414282699E-2</v>
      </c>
      <c r="H6">
        <v>1.6116145195404791E-2</v>
      </c>
      <c r="I6">
        <v>1.629749289728772E-2</v>
      </c>
      <c r="J6">
        <v>1.629749289728772E-2</v>
      </c>
      <c r="K6">
        <v>0.94889266053027455</v>
      </c>
      <c r="L6">
        <v>-7.573677996309744</v>
      </c>
      <c r="M6">
        <v>0.94748769749329753</v>
      </c>
      <c r="N6">
        <v>-7.6499189995736661</v>
      </c>
      <c r="O6">
        <v>11.239650273991529</v>
      </c>
    </row>
    <row r="7" spans="1:15" x14ac:dyDescent="0.45">
      <c r="A7" s="1">
        <v>5</v>
      </c>
      <c r="B7">
        <v>1.423499999999966</v>
      </c>
      <c r="C7">
        <v>-4.7410441887803377E-2</v>
      </c>
      <c r="D7">
        <v>-1.418822785226199</v>
      </c>
      <c r="E7">
        <v>2.542088683927371E-2</v>
      </c>
      <c r="F7">
        <v>4.6772147737670364E-3</v>
      </c>
      <c r="G7">
        <v>-2.1989555048529671E-2</v>
      </c>
      <c r="H7">
        <v>4.3179718197795237E-2</v>
      </c>
      <c r="I7">
        <v>4.3157430031713448E-2</v>
      </c>
      <c r="J7">
        <v>4.3179718197795237E-2</v>
      </c>
      <c r="K7">
        <v>0.95219913773651987</v>
      </c>
      <c r="L7">
        <v>-7.1400437163292887</v>
      </c>
      <c r="M7">
        <v>0.94918671792455955</v>
      </c>
      <c r="N7">
        <v>-7.4141796318134094</v>
      </c>
      <c r="O7">
        <v>29.77911599847948</v>
      </c>
    </row>
    <row r="8" spans="1:15" x14ac:dyDescent="0.45">
      <c r="A8" s="1">
        <v>6</v>
      </c>
      <c r="B8">
        <v>1.368660713988465</v>
      </c>
      <c r="C8">
        <v>0.56950796013152005</v>
      </c>
      <c r="D8">
        <v>-1.367681709036219</v>
      </c>
      <c r="E8">
        <v>-0.57358050078331013</v>
      </c>
      <c r="F8">
        <v>9.7900495224667594E-4</v>
      </c>
      <c r="G8">
        <v>-4.0725406517900797E-3</v>
      </c>
      <c r="H8">
        <v>4.5084704581657059E-2</v>
      </c>
      <c r="I8">
        <v>4.5148880327756921E-2</v>
      </c>
      <c r="J8">
        <v>4.5148880327756921E-2</v>
      </c>
      <c r="K8">
        <v>0.94918671792455955</v>
      </c>
      <c r="L8">
        <v>-7.4141796318134094</v>
      </c>
      <c r="M8">
        <v>0.94826364230703064</v>
      </c>
      <c r="N8">
        <v>-7.449484251899424</v>
      </c>
      <c r="O8">
        <v>31.137158846728909</v>
      </c>
    </row>
    <row r="9" spans="1:15" x14ac:dyDescent="0.45">
      <c r="A9" s="1">
        <v>7</v>
      </c>
      <c r="B9">
        <v>0.82393170903658108</v>
      </c>
      <c r="C9">
        <v>0.21800218662464929</v>
      </c>
      <c r="D9">
        <v>-0.82314951236683698</v>
      </c>
      <c r="E9">
        <v>-0.23002159572928221</v>
      </c>
      <c r="F9">
        <v>7.8219666974410629E-4</v>
      </c>
      <c r="G9">
        <v>-1.2019409104632841E-2</v>
      </c>
      <c r="H9">
        <v>2.5945660554458641E-2</v>
      </c>
      <c r="I9">
        <v>2.6050695789095329E-2</v>
      </c>
      <c r="J9">
        <v>2.6050695789095329E-2</v>
      </c>
      <c r="K9">
        <v>0.94826364230703064</v>
      </c>
      <c r="L9">
        <v>-7.449484251899424</v>
      </c>
      <c r="M9">
        <v>0.94709973899100564</v>
      </c>
      <c r="N9">
        <v>-7.5081156452035342</v>
      </c>
      <c r="O9">
        <v>17.965997095927811</v>
      </c>
    </row>
    <row r="10" spans="1:15" x14ac:dyDescent="0.45">
      <c r="A10" s="1">
        <v>8</v>
      </c>
      <c r="B10">
        <v>0.31984951236668457</v>
      </c>
      <c r="C10">
        <v>6.875757206211186E-2</v>
      </c>
      <c r="D10">
        <v>-0.31980001192086172</v>
      </c>
      <c r="E10">
        <v>-7.4309082866154105E-2</v>
      </c>
      <c r="F10">
        <v>4.950044582285873E-5</v>
      </c>
      <c r="G10">
        <v>-5.5515108040422451E-3</v>
      </c>
      <c r="H10">
        <v>9.9716973593797047E-3</v>
      </c>
      <c r="I10">
        <v>1.00091040620022E-2</v>
      </c>
      <c r="J10">
        <v>1.00091040620022E-2</v>
      </c>
      <c r="K10">
        <v>0.94709973899100564</v>
      </c>
      <c r="L10">
        <v>-7.5081156452035342</v>
      </c>
      <c r="M10">
        <v>0.94691553073024304</v>
      </c>
      <c r="N10">
        <v>-7.518296352745681</v>
      </c>
      <c r="O10">
        <v>6.9028303875877244</v>
      </c>
    </row>
    <row r="11" spans="1:15" x14ac:dyDescent="0.45">
      <c r="A11" s="1">
        <v>9</v>
      </c>
      <c r="B11">
        <v>0.50811731996237297</v>
      </c>
      <c r="C11">
        <v>0.72173734114079757</v>
      </c>
      <c r="D11">
        <v>-0.50668792876228952</v>
      </c>
      <c r="E11">
        <v>-0.74200732092241661</v>
      </c>
      <c r="F11">
        <v>1.4293912000834521E-3</v>
      </c>
      <c r="G11">
        <v>-2.0269979781619041E-2</v>
      </c>
      <c r="H11">
        <v>2.6769186022135769E-2</v>
      </c>
      <c r="I11">
        <v>2.732607297968662E-2</v>
      </c>
      <c r="J11">
        <v>2.732607297968662E-2</v>
      </c>
      <c r="K11">
        <v>0.95184770909803074</v>
      </c>
      <c r="L11">
        <v>-7.4148769661043374</v>
      </c>
      <c r="M11">
        <v>0.94918671792455955</v>
      </c>
      <c r="N11">
        <v>-7.4141796318134094</v>
      </c>
      <c r="O11">
        <v>18.84556757219767</v>
      </c>
    </row>
    <row r="12" spans="1:15" x14ac:dyDescent="0.45">
      <c r="A12" s="1">
        <v>10</v>
      </c>
      <c r="B12">
        <v>0.57797116720053177</v>
      </c>
      <c r="C12">
        <v>0.26917389694504451</v>
      </c>
      <c r="D12">
        <v>-0.57542697723597036</v>
      </c>
      <c r="E12">
        <v>-0.27352447193440083</v>
      </c>
      <c r="F12">
        <v>2.5441899645614048E-3</v>
      </c>
      <c r="G12">
        <v>-4.3505749893563714E-3</v>
      </c>
      <c r="H12">
        <v>1.8402589894373659E-2</v>
      </c>
      <c r="I12">
        <v>1.84786725177816E-2</v>
      </c>
      <c r="J12">
        <v>1.84786725177816E-2</v>
      </c>
      <c r="K12">
        <v>1.000146252976285</v>
      </c>
      <c r="L12">
        <v>-5.4870997577667673</v>
      </c>
      <c r="M12">
        <v>0.99532558607326915</v>
      </c>
      <c r="N12">
        <v>-5.5382367158125696</v>
      </c>
      <c r="O12">
        <v>9.4762423168110779</v>
      </c>
    </row>
    <row r="13" spans="1:15" x14ac:dyDescent="0.45">
      <c r="A13" s="1">
        <v>11</v>
      </c>
      <c r="B13">
        <v>0.54142697723589128</v>
      </c>
      <c r="C13">
        <v>0.25245316442868421</v>
      </c>
      <c r="D13">
        <v>-0.54005000404419468</v>
      </c>
      <c r="E13">
        <v>-0.25521285688576573</v>
      </c>
      <c r="F13">
        <v>1.376973191696607E-3</v>
      </c>
      <c r="G13">
        <v>-2.759692457081464E-3</v>
      </c>
      <c r="H13">
        <v>1.7326176777861559E-2</v>
      </c>
      <c r="I13">
        <v>1.7372431241104609E-2</v>
      </c>
      <c r="J13">
        <v>1.7372431241104609E-2</v>
      </c>
      <c r="K13">
        <v>0.99532558607326915</v>
      </c>
      <c r="L13">
        <v>-5.5382367158125696</v>
      </c>
      <c r="M13">
        <v>0.99255288775072459</v>
      </c>
      <c r="N13">
        <v>-5.5679127697897748</v>
      </c>
      <c r="O13">
        <v>8.9089390980023637</v>
      </c>
    </row>
    <row r="14" spans="1:15" x14ac:dyDescent="0.45">
      <c r="A14" s="1">
        <v>12</v>
      </c>
      <c r="B14">
        <v>1.4024338339940769E-9</v>
      </c>
      <c r="C14">
        <v>-4.0930605340620827E-3</v>
      </c>
      <c r="D14">
        <v>7.8079584588151107E-14</v>
      </c>
      <c r="E14">
        <v>-2.278559268580885E-13</v>
      </c>
      <c r="F14">
        <v>1.402511913578665E-9</v>
      </c>
      <c r="G14">
        <v>-4.0930605342899386E-3</v>
      </c>
      <c r="H14">
        <v>1.2470502822370589E-4</v>
      </c>
      <c r="I14">
        <v>7.3384538196467363E-15</v>
      </c>
      <c r="J14">
        <v>1.2470502822370589E-4</v>
      </c>
      <c r="K14">
        <v>0.94748769749329753</v>
      </c>
      <c r="L14">
        <v>-7.6499189995736661</v>
      </c>
      <c r="M14">
        <v>0.94748862540996037</v>
      </c>
      <c r="N14">
        <v>-7.6499582625152609</v>
      </c>
      <c r="O14">
        <v>8.6003467740486825E-2</v>
      </c>
    </row>
    <row r="15" spans="1:15" x14ac:dyDescent="0.45">
      <c r="A15" s="1">
        <v>13</v>
      </c>
      <c r="B15">
        <v>1.1921094199675639E-8</v>
      </c>
      <c r="C15">
        <v>-8.3465884455259289E-3</v>
      </c>
      <c r="D15">
        <v>-1.2081258682650019E-13</v>
      </c>
      <c r="E15">
        <v>-9.2640930957324695E-14</v>
      </c>
      <c r="F15">
        <v>1.192097338708882E-8</v>
      </c>
      <c r="G15">
        <v>-8.3465884456185701E-3</v>
      </c>
      <c r="H15">
        <v>2.5445274311469392E-4</v>
      </c>
      <c r="I15">
        <v>4.6412457148092371E-15</v>
      </c>
      <c r="J15">
        <v>2.5445274311469392E-4</v>
      </c>
      <c r="K15">
        <v>0.94691553073024304</v>
      </c>
      <c r="L15">
        <v>-7.518296352745681</v>
      </c>
      <c r="M15">
        <v>0.94691939633393973</v>
      </c>
      <c r="N15">
        <v>-7.5184600170083549</v>
      </c>
      <c r="O15">
        <v>0.17548465042392691</v>
      </c>
    </row>
    <row r="16" spans="1:15" x14ac:dyDescent="0.45">
      <c r="A16" s="1">
        <v>14</v>
      </c>
      <c r="B16">
        <v>4.0442295463579726E-9</v>
      </c>
      <c r="C16">
        <v>-2.4999481537546601E-3</v>
      </c>
      <c r="D16">
        <v>2.807700807417721E-14</v>
      </c>
      <c r="E16">
        <v>-2.7371922119859871E-15</v>
      </c>
      <c r="F16">
        <v>4.0442576233660457E-9</v>
      </c>
      <c r="G16">
        <v>-2.499948153757398E-3</v>
      </c>
      <c r="H16">
        <v>7.2708757253383746E-5</v>
      </c>
      <c r="I16">
        <v>8.2046407952365391E-16</v>
      </c>
      <c r="J16">
        <v>7.2708757253383746E-5</v>
      </c>
      <c r="K16">
        <v>0.99255288775072459</v>
      </c>
      <c r="L16">
        <v>-5.5679127697897748</v>
      </c>
      <c r="M16">
        <v>0.99255519236349465</v>
      </c>
      <c r="N16">
        <v>-5.5680981472846023</v>
      </c>
      <c r="O16">
        <v>3.7286542181222432E-2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"/>
  <sheetViews>
    <sheetView workbookViewId="0"/>
  </sheetViews>
  <sheetFormatPr baseColWidth="10" defaultColWidth="9.1328125" defaultRowHeight="14.25" x14ac:dyDescent="0.45"/>
  <sheetData>
    <row r="1" spans="1:14" x14ac:dyDescent="0.45"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223</v>
      </c>
      <c r="G1" s="1" t="s">
        <v>224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232</v>
      </c>
    </row>
    <row r="2" spans="1:14" x14ac:dyDescent="0.45">
      <c r="A2" s="1">
        <v>0</v>
      </c>
      <c r="B2">
        <v>22.579835434831359</v>
      </c>
      <c r="C2">
        <v>8.581525440146395</v>
      </c>
      <c r="D2">
        <v>-22.544635643128839</v>
      </c>
      <c r="E2">
        <v>-5.9415403186330114</v>
      </c>
      <c r="F2">
        <v>3.5199791702527961E-2</v>
      </c>
      <c r="G2">
        <v>2.639985121513384</v>
      </c>
      <c r="H2">
        <v>0.1230911267792722</v>
      </c>
      <c r="I2">
        <v>0.67700119728599739</v>
      </c>
      <c r="J2">
        <v>1.03</v>
      </c>
      <c r="K2">
        <v>0</v>
      </c>
      <c r="L2">
        <v>0.99413344102673662</v>
      </c>
      <c r="M2">
        <v>-6.0450871741908916</v>
      </c>
      <c r="N2">
        <v>93.808037638744679</v>
      </c>
    </row>
    <row r="3" spans="1:14" x14ac:dyDescent="0.45">
      <c r="A3" s="1">
        <v>1</v>
      </c>
      <c r="B3">
        <v>20.61666620423264</v>
      </c>
      <c r="C3">
        <v>7.1146433098477742</v>
      </c>
      <c r="D3">
        <v>-20.5879711672005</v>
      </c>
      <c r="E3">
        <v>-4.9625149260685131</v>
      </c>
      <c r="F3">
        <v>2.869503703213994E-2</v>
      </c>
      <c r="G3">
        <v>2.1521283837792611</v>
      </c>
      <c r="H3">
        <v>0.11113736488700771</v>
      </c>
      <c r="I3">
        <v>0.61125550687854258</v>
      </c>
      <c r="J3">
        <v>1.03</v>
      </c>
      <c r="K3">
        <v>0</v>
      </c>
      <c r="L3">
        <v>1.000146252976285</v>
      </c>
      <c r="M3">
        <v>-5.4870997577667673</v>
      </c>
      <c r="N3">
        <v>84.698047545592246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baseColWidth="10" defaultColWidth="9.1328125" defaultRowHeight="14.25" x14ac:dyDescent="0.45"/>
  <sheetData>
    <row r="1" spans="1:3" x14ac:dyDescent="0.45">
      <c r="B1" s="1" t="s">
        <v>29</v>
      </c>
      <c r="C1" s="1" t="s">
        <v>30</v>
      </c>
    </row>
    <row r="2" spans="1:3" x14ac:dyDescent="0.45">
      <c r="A2" s="1">
        <v>0</v>
      </c>
      <c r="B2">
        <v>43.196501639064351</v>
      </c>
      <c r="C2">
        <v>15.696168749994129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baseColWidth="10" defaultColWidth="9.1328125" defaultRowHeight="14.25" x14ac:dyDescent="0.45"/>
  <sheetData>
    <row r="1" spans="1:3" x14ac:dyDescent="0.45">
      <c r="B1" s="1" t="s">
        <v>29</v>
      </c>
      <c r="C1" s="1" t="s">
        <v>30</v>
      </c>
    </row>
    <row r="2" spans="1:3" x14ac:dyDescent="0.45">
      <c r="A2" s="1">
        <v>0</v>
      </c>
      <c r="B2">
        <v>14.994</v>
      </c>
      <c r="C2">
        <v>3.0446615575462639</v>
      </c>
    </row>
    <row r="3" spans="1:3" x14ac:dyDescent="0.45">
      <c r="A3" s="1">
        <v>1</v>
      </c>
      <c r="B3">
        <v>0.27644999999999997</v>
      </c>
      <c r="C3">
        <v>6.9284900952516423E-2</v>
      </c>
    </row>
    <row r="4" spans="1:3" x14ac:dyDescent="0.45">
      <c r="A4" s="1">
        <v>2</v>
      </c>
      <c r="B4">
        <v>0.43164999999999998</v>
      </c>
      <c r="C4">
        <v>0.1081816874521748</v>
      </c>
    </row>
    <row r="5" spans="1:3" x14ac:dyDescent="0.45">
      <c r="A5" s="1">
        <v>3</v>
      </c>
      <c r="B5">
        <v>0.72750000000000004</v>
      </c>
      <c r="C5">
        <v>0.182328686717148</v>
      </c>
    </row>
    <row r="6" spans="1:3" x14ac:dyDescent="0.45">
      <c r="A6" s="1">
        <v>4</v>
      </c>
      <c r="B6">
        <v>0.54804999999999993</v>
      </c>
      <c r="C6">
        <v>0.13735427732691841</v>
      </c>
    </row>
    <row r="7" spans="1:3" x14ac:dyDescent="0.45">
      <c r="A7" s="1">
        <v>5</v>
      </c>
      <c r="B7">
        <v>0.58684999999999998</v>
      </c>
      <c r="C7">
        <v>0.14707847395183299</v>
      </c>
    </row>
    <row r="8" spans="1:3" x14ac:dyDescent="0.45">
      <c r="A8" s="1">
        <v>6</v>
      </c>
      <c r="B8">
        <v>0.4753</v>
      </c>
      <c r="C8">
        <v>0.1191214086552034</v>
      </c>
    </row>
    <row r="9" spans="1:3" x14ac:dyDescent="0.45">
      <c r="A9" s="1">
        <v>7</v>
      </c>
      <c r="B9">
        <v>0.32979999999999998</v>
      </c>
      <c r="C9">
        <v>8.2655671311773871E-2</v>
      </c>
    </row>
    <row r="10" spans="1:3" x14ac:dyDescent="0.45">
      <c r="A10" s="1">
        <v>8</v>
      </c>
      <c r="B10">
        <v>14.994</v>
      </c>
      <c r="C10">
        <v>3.0446615575462639</v>
      </c>
    </row>
    <row r="11" spans="1:3" x14ac:dyDescent="0.45">
      <c r="A11" s="1">
        <v>9</v>
      </c>
      <c r="B11">
        <v>0.20855000000000001</v>
      </c>
      <c r="C11">
        <v>5.2267556858915883E-2</v>
      </c>
    </row>
    <row r="12" spans="1:3" x14ac:dyDescent="0.45">
      <c r="A12" s="1">
        <v>10</v>
      </c>
      <c r="B12">
        <v>4.8449999999999998</v>
      </c>
      <c r="C12">
        <v>1.5924744895915921</v>
      </c>
    </row>
    <row r="13" spans="1:3" x14ac:dyDescent="0.45">
      <c r="A13" s="1">
        <v>11</v>
      </c>
      <c r="B13">
        <v>0.22525000000000001</v>
      </c>
      <c r="C13">
        <v>0.13959741222529881</v>
      </c>
    </row>
    <row r="14" spans="1:3" x14ac:dyDescent="0.45">
      <c r="A14" s="1">
        <v>12</v>
      </c>
      <c r="B14">
        <v>7.6499999999999999E-2</v>
      </c>
      <c r="C14">
        <v>4.7410441887837322E-2</v>
      </c>
    </row>
    <row r="15" spans="1:3" x14ac:dyDescent="0.45">
      <c r="A15" s="1">
        <v>13</v>
      </c>
      <c r="B15">
        <v>0.57374999999999998</v>
      </c>
      <c r="C15">
        <v>0.35557831415878011</v>
      </c>
    </row>
    <row r="16" spans="1:3" x14ac:dyDescent="0.45">
      <c r="A16" s="1">
        <v>14</v>
      </c>
      <c r="B16">
        <v>6.8000000000000005E-2</v>
      </c>
      <c r="C16">
        <v>4.214261501141095E-2</v>
      </c>
    </row>
    <row r="17" spans="1:3" x14ac:dyDescent="0.45">
      <c r="A17" s="1">
        <v>15</v>
      </c>
      <c r="B17">
        <v>5.016</v>
      </c>
      <c r="C17">
        <v>1.648679471577178</v>
      </c>
    </row>
    <row r="18" spans="1:3" x14ac:dyDescent="0.45">
      <c r="A18" s="1">
        <v>16</v>
      </c>
      <c r="B18">
        <v>3.4000000000000002E-2</v>
      </c>
      <c r="C18">
        <v>2.1071307505705471E-2</v>
      </c>
    </row>
    <row r="19" spans="1:3" x14ac:dyDescent="0.45">
      <c r="A19" s="1">
        <v>17</v>
      </c>
      <c r="B19">
        <v>0.33150000000000002</v>
      </c>
      <c r="C19">
        <v>0.2054452481806284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"/>
  <sheetViews>
    <sheetView workbookViewId="0"/>
  </sheetViews>
  <sheetFormatPr baseColWidth="10" defaultColWidth="9.1328125" defaultRowHeight="14.25" x14ac:dyDescent="0.45"/>
  <sheetData>
    <row r="1" spans="1:3" x14ac:dyDescent="0.45">
      <c r="B1" s="1" t="s">
        <v>29</v>
      </c>
      <c r="C1" s="1" t="s">
        <v>30</v>
      </c>
    </row>
    <row r="2" spans="1:3" x14ac:dyDescent="0.45">
      <c r="A2" s="1">
        <v>0</v>
      </c>
      <c r="B2">
        <v>0.02</v>
      </c>
      <c r="C2">
        <v>0</v>
      </c>
    </row>
    <row r="3" spans="1:3" x14ac:dyDescent="0.45">
      <c r="A3" s="1">
        <v>1</v>
      </c>
      <c r="B3">
        <v>0.02</v>
      </c>
      <c r="C3">
        <v>0</v>
      </c>
    </row>
    <row r="4" spans="1:3" x14ac:dyDescent="0.45">
      <c r="A4" s="1">
        <v>2</v>
      </c>
      <c r="B4">
        <v>0.03</v>
      </c>
      <c r="C4">
        <v>0</v>
      </c>
    </row>
    <row r="5" spans="1:3" x14ac:dyDescent="0.45">
      <c r="A5" s="1">
        <v>3</v>
      </c>
      <c r="B5">
        <v>0.03</v>
      </c>
      <c r="C5">
        <v>0</v>
      </c>
    </row>
    <row r="6" spans="1:3" x14ac:dyDescent="0.45">
      <c r="A6" s="1">
        <v>4</v>
      </c>
      <c r="B6">
        <v>0.03</v>
      </c>
      <c r="C6">
        <v>0</v>
      </c>
    </row>
    <row r="7" spans="1:3" x14ac:dyDescent="0.45">
      <c r="A7" s="1">
        <v>5</v>
      </c>
      <c r="B7">
        <v>0.03</v>
      </c>
      <c r="C7">
        <v>0</v>
      </c>
    </row>
    <row r="8" spans="1:3" x14ac:dyDescent="0.45">
      <c r="A8" s="1">
        <v>6</v>
      </c>
      <c r="B8">
        <v>0.04</v>
      </c>
      <c r="C8">
        <v>0</v>
      </c>
    </row>
    <row r="9" spans="1:3" x14ac:dyDescent="0.45">
      <c r="A9" s="1">
        <v>7</v>
      </c>
      <c r="B9">
        <v>0.01</v>
      </c>
      <c r="C9">
        <v>0</v>
      </c>
    </row>
    <row r="10" spans="1:3" x14ac:dyDescent="0.45">
      <c r="A10" s="1">
        <v>8</v>
      </c>
      <c r="B10">
        <v>1.5</v>
      </c>
      <c r="C1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9"/>
  <sheetViews>
    <sheetView workbookViewId="0"/>
  </sheetViews>
  <sheetFormatPr baseColWidth="10" defaultColWidth="9.1328125" defaultRowHeight="14.25" x14ac:dyDescent="0.45"/>
  <sheetData>
    <row r="1" spans="1:3" x14ac:dyDescent="0.45">
      <c r="B1" s="1" t="s">
        <v>227</v>
      </c>
      <c r="C1" s="1" t="s">
        <v>232</v>
      </c>
    </row>
    <row r="2" spans="1:3" x14ac:dyDescent="0.45">
      <c r="A2" s="1">
        <v>0</v>
      </c>
      <c r="B2">
        <v>1.2470502822370589E-4</v>
      </c>
    </row>
    <row r="3" spans="1:3" x14ac:dyDescent="0.45">
      <c r="A3" s="1">
        <v>1</v>
      </c>
      <c r="B3">
        <v>0</v>
      </c>
    </row>
    <row r="4" spans="1:3" x14ac:dyDescent="0.45">
      <c r="A4" s="1">
        <v>2</v>
      </c>
      <c r="B4">
        <v>0</v>
      </c>
    </row>
    <row r="5" spans="1:3" x14ac:dyDescent="0.45">
      <c r="A5" s="1">
        <v>3</v>
      </c>
      <c r="B5">
        <v>2.5445274311469392E-4</v>
      </c>
    </row>
    <row r="6" spans="1:3" x14ac:dyDescent="0.45">
      <c r="A6" s="1">
        <v>4</v>
      </c>
      <c r="B6">
        <v>0</v>
      </c>
    </row>
    <row r="7" spans="1:3" x14ac:dyDescent="0.45">
      <c r="A7" s="1">
        <v>5</v>
      </c>
      <c r="B7">
        <v>7.2708757253383746E-5</v>
      </c>
    </row>
    <row r="8" spans="1:3" x14ac:dyDescent="0.45">
      <c r="A8" s="1">
        <v>6</v>
      </c>
      <c r="B8">
        <v>0.1230911267792722</v>
      </c>
    </row>
    <row r="9" spans="1:3" x14ac:dyDescent="0.45">
      <c r="A9" s="1">
        <v>7</v>
      </c>
      <c r="B9">
        <v>0.11113736488700771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19"/>
  <sheetViews>
    <sheetView workbookViewId="0"/>
  </sheetViews>
  <sheetFormatPr baseColWidth="10" defaultColWidth="9.1328125" defaultRowHeight="14.25" x14ac:dyDescent="0.45"/>
  <sheetData>
    <row r="1" spans="1:4" x14ac:dyDescent="0.45">
      <c r="B1" s="1" t="s">
        <v>65</v>
      </c>
      <c r="C1" s="1" t="s">
        <v>243</v>
      </c>
      <c r="D1" s="1" t="s">
        <v>244</v>
      </c>
    </row>
    <row r="2" spans="1:4" x14ac:dyDescent="0.45">
      <c r="A2" s="1">
        <v>0</v>
      </c>
      <c r="B2" t="s">
        <v>28</v>
      </c>
      <c r="C2" t="s">
        <v>3</v>
      </c>
      <c r="D2" t="s">
        <v>258</v>
      </c>
    </row>
    <row r="3" spans="1:4" x14ac:dyDescent="0.45">
      <c r="A3" s="1">
        <v>1</v>
      </c>
      <c r="B3" t="s">
        <v>28</v>
      </c>
      <c r="C3" t="s">
        <v>7</v>
      </c>
      <c r="D3" t="s">
        <v>259</v>
      </c>
    </row>
    <row r="4" spans="1:4" x14ac:dyDescent="0.45">
      <c r="A4" s="1">
        <v>2</v>
      </c>
      <c r="B4" t="s">
        <v>28</v>
      </c>
      <c r="C4" t="s">
        <v>8</v>
      </c>
      <c r="D4" t="s">
        <v>258</v>
      </c>
    </row>
    <row r="5" spans="1:4" x14ac:dyDescent="0.45">
      <c r="A5" s="1">
        <v>3</v>
      </c>
      <c r="B5" t="s">
        <v>28</v>
      </c>
      <c r="C5" t="s">
        <v>9</v>
      </c>
      <c r="D5" t="s">
        <v>258</v>
      </c>
    </row>
    <row r="6" spans="1:4" x14ac:dyDescent="0.45">
      <c r="A6" s="1">
        <v>4</v>
      </c>
      <c r="B6" t="s">
        <v>28</v>
      </c>
      <c r="C6" t="s">
        <v>10</v>
      </c>
      <c r="D6" t="s">
        <v>260</v>
      </c>
    </row>
    <row r="7" spans="1:4" x14ac:dyDescent="0.45">
      <c r="A7" s="1">
        <v>5</v>
      </c>
      <c r="B7" t="s">
        <v>245</v>
      </c>
      <c r="C7" t="s">
        <v>3</v>
      </c>
      <c r="D7" t="s">
        <v>258</v>
      </c>
    </row>
    <row r="8" spans="1:4" x14ac:dyDescent="0.45">
      <c r="A8" s="1">
        <v>6</v>
      </c>
      <c r="B8" t="s">
        <v>245</v>
      </c>
      <c r="C8" t="s">
        <v>28</v>
      </c>
      <c r="D8" t="s">
        <v>261</v>
      </c>
    </row>
    <row r="9" spans="1:4" x14ac:dyDescent="0.45">
      <c r="A9" s="1">
        <v>7</v>
      </c>
      <c r="B9" t="s">
        <v>245</v>
      </c>
      <c r="C9" t="s">
        <v>29</v>
      </c>
      <c r="D9" t="s">
        <v>259</v>
      </c>
    </row>
    <row r="10" spans="1:4" x14ac:dyDescent="0.45">
      <c r="A10" s="1">
        <v>8</v>
      </c>
      <c r="B10" t="s">
        <v>245</v>
      </c>
      <c r="C10" t="s">
        <v>30</v>
      </c>
      <c r="D10" t="s">
        <v>259</v>
      </c>
    </row>
    <row r="11" spans="1:4" x14ac:dyDescent="0.45">
      <c r="A11" s="1">
        <v>9</v>
      </c>
      <c r="B11" t="s">
        <v>245</v>
      </c>
      <c r="C11" t="s">
        <v>31</v>
      </c>
      <c r="D11" t="s">
        <v>259</v>
      </c>
    </row>
    <row r="12" spans="1:4" x14ac:dyDescent="0.45">
      <c r="A12" s="1">
        <v>10</v>
      </c>
      <c r="B12" t="s">
        <v>245</v>
      </c>
      <c r="C12" t="s">
        <v>32</v>
      </c>
      <c r="D12" t="s">
        <v>259</v>
      </c>
    </row>
    <row r="13" spans="1:4" x14ac:dyDescent="0.45">
      <c r="A13" s="1">
        <v>11</v>
      </c>
      <c r="B13" t="s">
        <v>245</v>
      </c>
      <c r="C13" t="s">
        <v>5</v>
      </c>
      <c r="D13" t="s">
        <v>259</v>
      </c>
    </row>
    <row r="14" spans="1:4" x14ac:dyDescent="0.45">
      <c r="A14" s="1">
        <v>12</v>
      </c>
      <c r="B14" t="s">
        <v>245</v>
      </c>
      <c r="C14" t="s">
        <v>33</v>
      </c>
      <c r="D14" t="s">
        <v>259</v>
      </c>
    </row>
    <row r="15" spans="1:4" x14ac:dyDescent="0.45">
      <c r="A15" s="1">
        <v>13</v>
      </c>
      <c r="B15" t="s">
        <v>245</v>
      </c>
      <c r="C15" t="s">
        <v>10</v>
      </c>
      <c r="D15" t="s">
        <v>260</v>
      </c>
    </row>
    <row r="16" spans="1:4" x14ac:dyDescent="0.45">
      <c r="A16" s="1">
        <v>14</v>
      </c>
      <c r="B16" t="s">
        <v>245</v>
      </c>
      <c r="C16" t="s">
        <v>8</v>
      </c>
      <c r="D16" t="s">
        <v>258</v>
      </c>
    </row>
    <row r="17" spans="1:4" x14ac:dyDescent="0.45">
      <c r="A17" s="1">
        <v>15</v>
      </c>
      <c r="B17" t="s">
        <v>246</v>
      </c>
      <c r="C17" t="s">
        <v>3</v>
      </c>
      <c r="D17" t="s">
        <v>258</v>
      </c>
    </row>
    <row r="18" spans="1:4" x14ac:dyDescent="0.45">
      <c r="A18" s="1">
        <v>16</v>
      </c>
      <c r="B18" t="s">
        <v>246</v>
      </c>
      <c r="C18" t="s">
        <v>28</v>
      </c>
      <c r="D18" t="s">
        <v>262</v>
      </c>
    </row>
    <row r="19" spans="1:4" x14ac:dyDescent="0.45">
      <c r="A19" s="1">
        <v>17</v>
      </c>
      <c r="B19" t="s">
        <v>246</v>
      </c>
      <c r="C19" t="s">
        <v>29</v>
      </c>
      <c r="D19" t="s">
        <v>259</v>
      </c>
    </row>
    <row r="20" spans="1:4" x14ac:dyDescent="0.45">
      <c r="A20" s="1">
        <v>18</v>
      </c>
      <c r="B20" t="s">
        <v>246</v>
      </c>
      <c r="C20" t="s">
        <v>30</v>
      </c>
      <c r="D20" t="s">
        <v>259</v>
      </c>
    </row>
    <row r="21" spans="1:4" x14ac:dyDescent="0.45">
      <c r="A21" s="1">
        <v>19</v>
      </c>
      <c r="B21" t="s">
        <v>246</v>
      </c>
      <c r="C21" t="s">
        <v>5</v>
      </c>
      <c r="D21" t="s">
        <v>259</v>
      </c>
    </row>
    <row r="22" spans="1:4" x14ac:dyDescent="0.45">
      <c r="A22" s="1">
        <v>20</v>
      </c>
      <c r="B22" t="s">
        <v>246</v>
      </c>
      <c r="C22" t="s">
        <v>33</v>
      </c>
      <c r="D22" t="s">
        <v>259</v>
      </c>
    </row>
    <row r="23" spans="1:4" x14ac:dyDescent="0.45">
      <c r="A23" s="1">
        <v>21</v>
      </c>
      <c r="B23" t="s">
        <v>246</v>
      </c>
      <c r="C23" t="s">
        <v>10</v>
      </c>
      <c r="D23" t="s">
        <v>260</v>
      </c>
    </row>
    <row r="24" spans="1:4" x14ac:dyDescent="0.45">
      <c r="A24" s="1">
        <v>22</v>
      </c>
      <c r="B24" t="s">
        <v>246</v>
      </c>
      <c r="C24" t="s">
        <v>8</v>
      </c>
      <c r="D24" t="s">
        <v>258</v>
      </c>
    </row>
    <row r="25" spans="1:4" x14ac:dyDescent="0.45">
      <c r="A25" s="1">
        <v>23</v>
      </c>
      <c r="B25" t="s">
        <v>246</v>
      </c>
      <c r="C25" t="s">
        <v>53</v>
      </c>
      <c r="D25" t="s">
        <v>260</v>
      </c>
    </row>
    <row r="26" spans="1:4" x14ac:dyDescent="0.45">
      <c r="A26" s="1">
        <v>24</v>
      </c>
      <c r="B26" t="s">
        <v>247</v>
      </c>
      <c r="C26" t="s">
        <v>28</v>
      </c>
      <c r="D26" t="s">
        <v>262</v>
      </c>
    </row>
    <row r="27" spans="1:4" x14ac:dyDescent="0.45">
      <c r="A27" s="1">
        <v>25</v>
      </c>
      <c r="B27" t="s">
        <v>247</v>
      </c>
      <c r="C27" t="s">
        <v>65</v>
      </c>
      <c r="D27" t="s">
        <v>262</v>
      </c>
    </row>
    <row r="28" spans="1:4" x14ac:dyDescent="0.45">
      <c r="A28" s="1">
        <v>26</v>
      </c>
      <c r="B28" t="s">
        <v>247</v>
      </c>
      <c r="C28" t="s">
        <v>66</v>
      </c>
      <c r="D28" t="s">
        <v>258</v>
      </c>
    </row>
    <row r="29" spans="1:4" x14ac:dyDescent="0.45">
      <c r="A29" s="1">
        <v>27</v>
      </c>
      <c r="B29" t="s">
        <v>247</v>
      </c>
      <c r="C29" t="s">
        <v>8</v>
      </c>
      <c r="D29" t="s">
        <v>258</v>
      </c>
    </row>
    <row r="30" spans="1:4" x14ac:dyDescent="0.45">
      <c r="A30" s="1">
        <v>28</v>
      </c>
      <c r="B30" t="s">
        <v>247</v>
      </c>
      <c r="C30" t="s">
        <v>67</v>
      </c>
      <c r="D30" t="s">
        <v>260</v>
      </c>
    </row>
    <row r="31" spans="1:4" x14ac:dyDescent="0.45">
      <c r="A31" s="1">
        <v>29</v>
      </c>
      <c r="B31" t="s">
        <v>247</v>
      </c>
      <c r="C31" t="s">
        <v>3</v>
      </c>
      <c r="D31" t="s">
        <v>258</v>
      </c>
    </row>
    <row r="32" spans="1:4" x14ac:dyDescent="0.45">
      <c r="A32" s="1">
        <v>30</v>
      </c>
      <c r="B32" t="s">
        <v>247</v>
      </c>
      <c r="C32" t="s">
        <v>68</v>
      </c>
      <c r="D32" t="s">
        <v>259</v>
      </c>
    </row>
    <row r="33" spans="1:4" x14ac:dyDescent="0.45">
      <c r="A33" s="1">
        <v>31</v>
      </c>
      <c r="B33" t="s">
        <v>247</v>
      </c>
      <c r="C33" t="s">
        <v>69</v>
      </c>
      <c r="D33" t="s">
        <v>259</v>
      </c>
    </row>
    <row r="34" spans="1:4" x14ac:dyDescent="0.45">
      <c r="A34" s="1">
        <v>32</v>
      </c>
      <c r="B34" t="s">
        <v>248</v>
      </c>
      <c r="C34" t="s">
        <v>3</v>
      </c>
      <c r="D34" t="s">
        <v>258</v>
      </c>
    </row>
    <row r="35" spans="1:4" x14ac:dyDescent="0.45">
      <c r="A35" s="1">
        <v>33</v>
      </c>
      <c r="B35" t="s">
        <v>248</v>
      </c>
      <c r="C35" t="s">
        <v>28</v>
      </c>
      <c r="D35" t="s">
        <v>261</v>
      </c>
    </row>
    <row r="36" spans="1:4" x14ac:dyDescent="0.45">
      <c r="A36" s="1">
        <v>34</v>
      </c>
      <c r="B36" t="s">
        <v>248</v>
      </c>
      <c r="C36" t="s">
        <v>75</v>
      </c>
      <c r="D36" t="s">
        <v>259</v>
      </c>
    </row>
    <row r="37" spans="1:4" x14ac:dyDescent="0.45">
      <c r="A37" s="1">
        <v>35</v>
      </c>
      <c r="B37" t="s">
        <v>248</v>
      </c>
      <c r="C37" t="s">
        <v>76</v>
      </c>
      <c r="D37" t="s">
        <v>259</v>
      </c>
    </row>
    <row r="38" spans="1:4" x14ac:dyDescent="0.45">
      <c r="A38" s="1">
        <v>36</v>
      </c>
      <c r="B38" t="s">
        <v>248</v>
      </c>
      <c r="C38" t="s">
        <v>77</v>
      </c>
      <c r="D38" t="s">
        <v>259</v>
      </c>
    </row>
    <row r="39" spans="1:4" x14ac:dyDescent="0.45">
      <c r="A39" s="1">
        <v>37</v>
      </c>
      <c r="B39" t="s">
        <v>248</v>
      </c>
      <c r="C39" t="s">
        <v>10</v>
      </c>
      <c r="D39" t="s">
        <v>260</v>
      </c>
    </row>
    <row r="40" spans="1:4" x14ac:dyDescent="0.45">
      <c r="A40" s="1">
        <v>38</v>
      </c>
      <c r="B40" t="s">
        <v>248</v>
      </c>
      <c r="C40" t="s">
        <v>78</v>
      </c>
      <c r="D40" t="s">
        <v>259</v>
      </c>
    </row>
    <row r="41" spans="1:4" x14ac:dyDescent="0.45">
      <c r="A41" s="1">
        <v>39</v>
      </c>
      <c r="B41" t="s">
        <v>248</v>
      </c>
      <c r="C41" t="s">
        <v>79</v>
      </c>
      <c r="D41" t="s">
        <v>259</v>
      </c>
    </row>
    <row r="42" spans="1:4" x14ac:dyDescent="0.45">
      <c r="A42" s="1">
        <v>40</v>
      </c>
      <c r="B42" t="s">
        <v>248</v>
      </c>
      <c r="C42" t="s">
        <v>80</v>
      </c>
      <c r="D42" t="s">
        <v>259</v>
      </c>
    </row>
    <row r="43" spans="1:4" x14ac:dyDescent="0.45">
      <c r="A43" s="1">
        <v>41</v>
      </c>
      <c r="B43" t="s">
        <v>248</v>
      </c>
      <c r="C43" t="s">
        <v>81</v>
      </c>
      <c r="D43" t="s">
        <v>259</v>
      </c>
    </row>
    <row r="44" spans="1:4" x14ac:dyDescent="0.45">
      <c r="A44" s="1">
        <v>42</v>
      </c>
      <c r="B44" t="s">
        <v>249</v>
      </c>
      <c r="C44" t="s">
        <v>3</v>
      </c>
      <c r="D44" t="s">
        <v>258</v>
      </c>
    </row>
    <row r="45" spans="1:4" x14ac:dyDescent="0.45">
      <c r="A45" s="1">
        <v>43</v>
      </c>
      <c r="B45" t="s">
        <v>249</v>
      </c>
      <c r="C45" t="s">
        <v>82</v>
      </c>
      <c r="D45" t="s">
        <v>258</v>
      </c>
    </row>
    <row r="46" spans="1:4" x14ac:dyDescent="0.45">
      <c r="A46" s="1">
        <v>44</v>
      </c>
      <c r="B46" t="s">
        <v>249</v>
      </c>
      <c r="C46" t="s">
        <v>83</v>
      </c>
      <c r="D46" t="s">
        <v>261</v>
      </c>
    </row>
    <row r="47" spans="1:4" x14ac:dyDescent="0.45">
      <c r="A47" s="1">
        <v>45</v>
      </c>
      <c r="B47" t="s">
        <v>249</v>
      </c>
      <c r="C47" t="s">
        <v>84</v>
      </c>
      <c r="D47" t="s">
        <v>261</v>
      </c>
    </row>
    <row r="48" spans="1:4" x14ac:dyDescent="0.45">
      <c r="A48" s="1">
        <v>46</v>
      </c>
      <c r="B48" t="s">
        <v>249</v>
      </c>
      <c r="C48" t="s">
        <v>85</v>
      </c>
      <c r="D48" t="s">
        <v>259</v>
      </c>
    </row>
    <row r="49" spans="1:4" x14ac:dyDescent="0.45">
      <c r="A49" s="1">
        <v>47</v>
      </c>
      <c r="B49" t="s">
        <v>249</v>
      </c>
      <c r="C49" t="s">
        <v>86</v>
      </c>
      <c r="D49" t="s">
        <v>259</v>
      </c>
    </row>
    <row r="50" spans="1:4" x14ac:dyDescent="0.45">
      <c r="A50" s="1">
        <v>48</v>
      </c>
      <c r="B50" t="s">
        <v>249</v>
      </c>
      <c r="C50" t="s">
        <v>87</v>
      </c>
      <c r="D50" t="s">
        <v>259</v>
      </c>
    </row>
    <row r="51" spans="1:4" x14ac:dyDescent="0.45">
      <c r="A51" s="1">
        <v>49</v>
      </c>
      <c r="B51" t="s">
        <v>249</v>
      </c>
      <c r="C51" t="s">
        <v>88</v>
      </c>
      <c r="D51" t="s">
        <v>259</v>
      </c>
    </row>
    <row r="52" spans="1:4" x14ac:dyDescent="0.45">
      <c r="A52" s="1">
        <v>50</v>
      </c>
      <c r="B52" t="s">
        <v>249</v>
      </c>
      <c r="C52" t="s">
        <v>89</v>
      </c>
      <c r="D52" t="s">
        <v>259</v>
      </c>
    </row>
    <row r="53" spans="1:4" x14ac:dyDescent="0.45">
      <c r="A53" s="1">
        <v>51</v>
      </c>
      <c r="B53" t="s">
        <v>249</v>
      </c>
      <c r="C53" t="s">
        <v>90</v>
      </c>
      <c r="D53" t="s">
        <v>259</v>
      </c>
    </row>
    <row r="54" spans="1:4" x14ac:dyDescent="0.45">
      <c r="A54" s="1">
        <v>52</v>
      </c>
      <c r="B54" t="s">
        <v>249</v>
      </c>
      <c r="C54" t="s">
        <v>91</v>
      </c>
      <c r="D54" t="s">
        <v>259</v>
      </c>
    </row>
    <row r="55" spans="1:4" x14ac:dyDescent="0.45">
      <c r="A55" s="1">
        <v>53</v>
      </c>
      <c r="B55" t="s">
        <v>249</v>
      </c>
      <c r="C55" t="s">
        <v>92</v>
      </c>
      <c r="D55" t="s">
        <v>261</v>
      </c>
    </row>
    <row r="56" spans="1:4" x14ac:dyDescent="0.45">
      <c r="A56" s="1">
        <v>54</v>
      </c>
      <c r="B56" t="s">
        <v>249</v>
      </c>
      <c r="C56" t="s">
        <v>8</v>
      </c>
      <c r="D56" t="s">
        <v>258</v>
      </c>
    </row>
    <row r="57" spans="1:4" x14ac:dyDescent="0.45">
      <c r="A57" s="1">
        <v>55</v>
      </c>
      <c r="B57" t="s">
        <v>249</v>
      </c>
      <c r="C57" t="s">
        <v>10</v>
      </c>
      <c r="D57" t="s">
        <v>260</v>
      </c>
    </row>
    <row r="58" spans="1:4" x14ac:dyDescent="0.45">
      <c r="A58" s="1">
        <v>56</v>
      </c>
      <c r="B58" t="s">
        <v>250</v>
      </c>
      <c r="C58" t="s">
        <v>3</v>
      </c>
      <c r="D58" t="s">
        <v>258</v>
      </c>
    </row>
    <row r="59" spans="1:4" x14ac:dyDescent="0.45">
      <c r="A59" s="1">
        <v>57</v>
      </c>
      <c r="B59" t="s">
        <v>250</v>
      </c>
      <c r="C59" t="s">
        <v>82</v>
      </c>
      <c r="D59" t="s">
        <v>258</v>
      </c>
    </row>
    <row r="60" spans="1:4" x14ac:dyDescent="0.45">
      <c r="A60" s="1">
        <v>58</v>
      </c>
      <c r="B60" t="s">
        <v>250</v>
      </c>
      <c r="C60" t="s">
        <v>112</v>
      </c>
      <c r="D60" t="s">
        <v>261</v>
      </c>
    </row>
    <row r="61" spans="1:4" x14ac:dyDescent="0.45">
      <c r="A61" s="1">
        <v>59</v>
      </c>
      <c r="B61" t="s">
        <v>250</v>
      </c>
      <c r="C61" t="s">
        <v>113</v>
      </c>
      <c r="D61" t="s">
        <v>261</v>
      </c>
    </row>
    <row r="62" spans="1:4" x14ac:dyDescent="0.45">
      <c r="A62" s="1">
        <v>60</v>
      </c>
      <c r="B62" t="s">
        <v>250</v>
      </c>
      <c r="C62" t="s">
        <v>5</v>
      </c>
      <c r="D62" t="s">
        <v>259</v>
      </c>
    </row>
    <row r="63" spans="1:4" x14ac:dyDescent="0.45">
      <c r="A63" s="1">
        <v>61</v>
      </c>
      <c r="B63" t="s">
        <v>250</v>
      </c>
      <c r="C63" t="s">
        <v>114</v>
      </c>
      <c r="D63" t="s">
        <v>259</v>
      </c>
    </row>
    <row r="64" spans="1:4" x14ac:dyDescent="0.45">
      <c r="A64" s="1">
        <v>62</v>
      </c>
      <c r="B64" t="s">
        <v>250</v>
      </c>
      <c r="C64" t="s">
        <v>115</v>
      </c>
      <c r="D64" t="s">
        <v>259</v>
      </c>
    </row>
    <row r="65" spans="1:4" x14ac:dyDescent="0.45">
      <c r="A65" s="1">
        <v>63</v>
      </c>
      <c r="B65" t="s">
        <v>250</v>
      </c>
      <c r="C65" t="s">
        <v>116</v>
      </c>
      <c r="D65" t="s">
        <v>259</v>
      </c>
    </row>
    <row r="66" spans="1:4" x14ac:dyDescent="0.45">
      <c r="A66" s="1">
        <v>64</v>
      </c>
      <c r="B66" t="s">
        <v>250</v>
      </c>
      <c r="C66" t="s">
        <v>117</v>
      </c>
      <c r="D66" t="s">
        <v>259</v>
      </c>
    </row>
    <row r="67" spans="1:4" x14ac:dyDescent="0.45">
      <c r="A67" s="1">
        <v>65</v>
      </c>
      <c r="B67" t="s">
        <v>250</v>
      </c>
      <c r="C67" t="s">
        <v>118</v>
      </c>
      <c r="D67" t="s">
        <v>259</v>
      </c>
    </row>
    <row r="68" spans="1:4" x14ac:dyDescent="0.45">
      <c r="A68" s="1">
        <v>66</v>
      </c>
      <c r="B68" t="s">
        <v>250</v>
      </c>
      <c r="C68" t="s">
        <v>119</v>
      </c>
      <c r="D68" t="s">
        <v>259</v>
      </c>
    </row>
    <row r="69" spans="1:4" x14ac:dyDescent="0.45">
      <c r="A69" s="1">
        <v>67</v>
      </c>
      <c r="B69" t="s">
        <v>250</v>
      </c>
      <c r="C69" t="s">
        <v>120</v>
      </c>
      <c r="D69" t="s">
        <v>259</v>
      </c>
    </row>
    <row r="70" spans="1:4" x14ac:dyDescent="0.45">
      <c r="A70" s="1">
        <v>68</v>
      </c>
      <c r="B70" t="s">
        <v>250</v>
      </c>
      <c r="C70" t="s">
        <v>121</v>
      </c>
      <c r="D70" t="s">
        <v>258</v>
      </c>
    </row>
    <row r="71" spans="1:4" x14ac:dyDescent="0.45">
      <c r="A71" s="1">
        <v>69</v>
      </c>
      <c r="B71" t="s">
        <v>250</v>
      </c>
      <c r="C71" t="s">
        <v>122</v>
      </c>
      <c r="D71" t="s">
        <v>259</v>
      </c>
    </row>
    <row r="72" spans="1:4" x14ac:dyDescent="0.45">
      <c r="A72" s="1">
        <v>70</v>
      </c>
      <c r="B72" t="s">
        <v>250</v>
      </c>
      <c r="C72" t="s">
        <v>123</v>
      </c>
      <c r="D72" t="s">
        <v>259</v>
      </c>
    </row>
    <row r="73" spans="1:4" x14ac:dyDescent="0.45">
      <c r="A73" s="1">
        <v>71</v>
      </c>
      <c r="B73" t="s">
        <v>250</v>
      </c>
      <c r="C73" t="s">
        <v>124</v>
      </c>
      <c r="D73" t="s">
        <v>259</v>
      </c>
    </row>
    <row r="74" spans="1:4" x14ac:dyDescent="0.45">
      <c r="A74" s="1">
        <v>72</v>
      </c>
      <c r="B74" t="s">
        <v>250</v>
      </c>
      <c r="C74" t="s">
        <v>125</v>
      </c>
      <c r="D74" t="s">
        <v>259</v>
      </c>
    </row>
    <row r="75" spans="1:4" x14ac:dyDescent="0.45">
      <c r="A75" s="1">
        <v>73</v>
      </c>
      <c r="B75" t="s">
        <v>250</v>
      </c>
      <c r="C75" t="s">
        <v>126</v>
      </c>
      <c r="D75" t="s">
        <v>259</v>
      </c>
    </row>
    <row r="76" spans="1:4" x14ac:dyDescent="0.45">
      <c r="A76" s="1">
        <v>74</v>
      </c>
      <c r="B76" t="s">
        <v>250</v>
      </c>
      <c r="C76" t="s">
        <v>127</v>
      </c>
      <c r="D76" t="s">
        <v>259</v>
      </c>
    </row>
    <row r="77" spans="1:4" x14ac:dyDescent="0.45">
      <c r="A77" s="1">
        <v>75</v>
      </c>
      <c r="B77" t="s">
        <v>250</v>
      </c>
      <c r="C77" t="s">
        <v>128</v>
      </c>
      <c r="D77" t="s">
        <v>260</v>
      </c>
    </row>
    <row r="78" spans="1:4" x14ac:dyDescent="0.45">
      <c r="A78" s="1">
        <v>76</v>
      </c>
      <c r="B78" t="s">
        <v>250</v>
      </c>
      <c r="C78" t="s">
        <v>92</v>
      </c>
      <c r="D78" t="s">
        <v>261</v>
      </c>
    </row>
    <row r="79" spans="1:4" x14ac:dyDescent="0.45">
      <c r="A79" s="1">
        <v>77</v>
      </c>
      <c r="B79" t="s">
        <v>250</v>
      </c>
      <c r="C79" t="s">
        <v>91</v>
      </c>
      <c r="D79" t="s">
        <v>259</v>
      </c>
    </row>
    <row r="80" spans="1:4" x14ac:dyDescent="0.45">
      <c r="A80" s="1">
        <v>78</v>
      </c>
      <c r="B80" t="s">
        <v>250</v>
      </c>
      <c r="C80" t="s">
        <v>10</v>
      </c>
      <c r="D80" t="s">
        <v>260</v>
      </c>
    </row>
    <row r="81" spans="1:4" x14ac:dyDescent="0.45">
      <c r="A81" s="1">
        <v>79</v>
      </c>
      <c r="B81" t="s">
        <v>251</v>
      </c>
      <c r="C81" t="s">
        <v>75</v>
      </c>
      <c r="D81" t="s">
        <v>259</v>
      </c>
    </row>
    <row r="82" spans="1:4" x14ac:dyDescent="0.45">
      <c r="A82" s="1">
        <v>80</v>
      </c>
      <c r="B82" t="s">
        <v>251</v>
      </c>
      <c r="C82" t="s">
        <v>76</v>
      </c>
      <c r="D82" t="s">
        <v>259</v>
      </c>
    </row>
    <row r="83" spans="1:4" x14ac:dyDescent="0.45">
      <c r="A83" s="1">
        <v>81</v>
      </c>
      <c r="B83" t="s">
        <v>251</v>
      </c>
      <c r="C83" t="s">
        <v>29</v>
      </c>
      <c r="D83" t="s">
        <v>259</v>
      </c>
    </row>
    <row r="84" spans="1:4" x14ac:dyDescent="0.45">
      <c r="A84" s="1">
        <v>82</v>
      </c>
      <c r="B84" t="s">
        <v>251</v>
      </c>
      <c r="C84" t="s">
        <v>30</v>
      </c>
      <c r="D84" t="s">
        <v>259</v>
      </c>
    </row>
    <row r="85" spans="1:4" x14ac:dyDescent="0.45">
      <c r="A85" s="1">
        <v>83</v>
      </c>
      <c r="B85" t="s">
        <v>252</v>
      </c>
      <c r="C85" t="s">
        <v>219</v>
      </c>
      <c r="D85" t="s">
        <v>259</v>
      </c>
    </row>
    <row r="86" spans="1:4" x14ac:dyDescent="0.45">
      <c r="A86" s="1">
        <v>84</v>
      </c>
      <c r="B86" t="s">
        <v>252</v>
      </c>
      <c r="C86" t="s">
        <v>220</v>
      </c>
      <c r="D86" t="s">
        <v>259</v>
      </c>
    </row>
    <row r="87" spans="1:4" x14ac:dyDescent="0.45">
      <c r="A87" s="1">
        <v>85</v>
      </c>
      <c r="B87" t="s">
        <v>252</v>
      </c>
      <c r="C87" t="s">
        <v>221</v>
      </c>
      <c r="D87" t="s">
        <v>259</v>
      </c>
    </row>
    <row r="88" spans="1:4" x14ac:dyDescent="0.45">
      <c r="A88" s="1">
        <v>86</v>
      </c>
      <c r="B88" t="s">
        <v>252</v>
      </c>
      <c r="C88" t="s">
        <v>222</v>
      </c>
      <c r="D88" t="s">
        <v>259</v>
      </c>
    </row>
    <row r="89" spans="1:4" x14ac:dyDescent="0.45">
      <c r="A89" s="1">
        <v>87</v>
      </c>
      <c r="B89" t="s">
        <v>252</v>
      </c>
      <c r="C89" t="s">
        <v>223</v>
      </c>
      <c r="D89" t="s">
        <v>259</v>
      </c>
    </row>
    <row r="90" spans="1:4" x14ac:dyDescent="0.45">
      <c r="A90" s="1">
        <v>88</v>
      </c>
      <c r="B90" t="s">
        <v>252</v>
      </c>
      <c r="C90" t="s">
        <v>224</v>
      </c>
      <c r="D90" t="s">
        <v>259</v>
      </c>
    </row>
    <row r="91" spans="1:4" x14ac:dyDescent="0.45">
      <c r="A91" s="1">
        <v>89</v>
      </c>
      <c r="B91" t="s">
        <v>252</v>
      </c>
      <c r="C91" t="s">
        <v>225</v>
      </c>
      <c r="D91" t="s">
        <v>259</v>
      </c>
    </row>
    <row r="92" spans="1:4" x14ac:dyDescent="0.45">
      <c r="A92" s="1">
        <v>90</v>
      </c>
      <c r="B92" t="s">
        <v>252</v>
      </c>
      <c r="C92" t="s">
        <v>226</v>
      </c>
      <c r="D92" t="s">
        <v>259</v>
      </c>
    </row>
    <row r="93" spans="1:4" x14ac:dyDescent="0.45">
      <c r="A93" s="1">
        <v>91</v>
      </c>
      <c r="B93" t="s">
        <v>252</v>
      </c>
      <c r="C93" t="s">
        <v>227</v>
      </c>
      <c r="D93" t="s">
        <v>259</v>
      </c>
    </row>
    <row r="94" spans="1:4" x14ac:dyDescent="0.45">
      <c r="A94" s="1">
        <v>92</v>
      </c>
      <c r="B94" t="s">
        <v>252</v>
      </c>
      <c r="C94" t="s">
        <v>228</v>
      </c>
      <c r="D94" t="s">
        <v>259</v>
      </c>
    </row>
    <row r="95" spans="1:4" x14ac:dyDescent="0.45">
      <c r="A95" s="1">
        <v>93</v>
      </c>
      <c r="B95" t="s">
        <v>252</v>
      </c>
      <c r="C95" t="s">
        <v>229</v>
      </c>
      <c r="D95" t="s">
        <v>259</v>
      </c>
    </row>
    <row r="96" spans="1:4" x14ac:dyDescent="0.45">
      <c r="A96" s="1">
        <v>94</v>
      </c>
      <c r="B96" t="s">
        <v>252</v>
      </c>
      <c r="C96" t="s">
        <v>230</v>
      </c>
      <c r="D96" t="s">
        <v>259</v>
      </c>
    </row>
    <row r="97" spans="1:4" x14ac:dyDescent="0.45">
      <c r="A97" s="1">
        <v>95</v>
      </c>
      <c r="B97" t="s">
        <v>252</v>
      </c>
      <c r="C97" t="s">
        <v>231</v>
      </c>
      <c r="D97" t="s">
        <v>259</v>
      </c>
    </row>
    <row r="98" spans="1:4" x14ac:dyDescent="0.45">
      <c r="A98" s="1">
        <v>96</v>
      </c>
      <c r="B98" t="s">
        <v>252</v>
      </c>
      <c r="C98" t="s">
        <v>232</v>
      </c>
      <c r="D98" t="s">
        <v>259</v>
      </c>
    </row>
    <row r="99" spans="1:4" x14ac:dyDescent="0.45">
      <c r="A99" s="1">
        <v>97</v>
      </c>
      <c r="B99" t="s">
        <v>253</v>
      </c>
      <c r="C99" t="s">
        <v>233</v>
      </c>
      <c r="D99" t="s">
        <v>259</v>
      </c>
    </row>
    <row r="100" spans="1:4" x14ac:dyDescent="0.45">
      <c r="A100" s="1">
        <v>98</v>
      </c>
      <c r="B100" t="s">
        <v>253</v>
      </c>
      <c r="C100" t="s">
        <v>234</v>
      </c>
      <c r="D100" t="s">
        <v>259</v>
      </c>
    </row>
    <row r="101" spans="1:4" x14ac:dyDescent="0.45">
      <c r="A101" s="1">
        <v>99</v>
      </c>
      <c r="B101" t="s">
        <v>253</v>
      </c>
      <c r="C101" t="s">
        <v>235</v>
      </c>
      <c r="D101" t="s">
        <v>259</v>
      </c>
    </row>
    <row r="102" spans="1:4" x14ac:dyDescent="0.45">
      <c r="A102" s="1">
        <v>100</v>
      </c>
      <c r="B102" t="s">
        <v>253</v>
      </c>
      <c r="C102" t="s">
        <v>236</v>
      </c>
      <c r="D102" t="s">
        <v>259</v>
      </c>
    </row>
    <row r="103" spans="1:4" x14ac:dyDescent="0.45">
      <c r="A103" s="1">
        <v>101</v>
      </c>
      <c r="B103" t="s">
        <v>253</v>
      </c>
      <c r="C103" t="s">
        <v>223</v>
      </c>
      <c r="D103" t="s">
        <v>259</v>
      </c>
    </row>
    <row r="104" spans="1:4" x14ac:dyDescent="0.45">
      <c r="A104" s="1">
        <v>102</v>
      </c>
      <c r="B104" t="s">
        <v>253</v>
      </c>
      <c r="C104" t="s">
        <v>224</v>
      </c>
      <c r="D104" t="s">
        <v>259</v>
      </c>
    </row>
    <row r="105" spans="1:4" x14ac:dyDescent="0.45">
      <c r="A105" s="1">
        <v>103</v>
      </c>
      <c r="B105" t="s">
        <v>253</v>
      </c>
      <c r="C105" t="s">
        <v>237</v>
      </c>
      <c r="D105" t="s">
        <v>259</v>
      </c>
    </row>
    <row r="106" spans="1:4" x14ac:dyDescent="0.45">
      <c r="A106" s="1">
        <v>104</v>
      </c>
      <c r="B106" t="s">
        <v>253</v>
      </c>
      <c r="C106" t="s">
        <v>238</v>
      </c>
      <c r="D106" t="s">
        <v>259</v>
      </c>
    </row>
    <row r="107" spans="1:4" x14ac:dyDescent="0.45">
      <c r="A107" s="1">
        <v>105</v>
      </c>
      <c r="B107" t="s">
        <v>253</v>
      </c>
      <c r="C107" t="s">
        <v>239</v>
      </c>
      <c r="D107" t="s">
        <v>259</v>
      </c>
    </row>
    <row r="108" spans="1:4" x14ac:dyDescent="0.45">
      <c r="A108" s="1">
        <v>106</v>
      </c>
      <c r="B108" t="s">
        <v>253</v>
      </c>
      <c r="C108" t="s">
        <v>240</v>
      </c>
      <c r="D108" t="s">
        <v>259</v>
      </c>
    </row>
    <row r="109" spans="1:4" x14ac:dyDescent="0.45">
      <c r="A109" s="1">
        <v>107</v>
      </c>
      <c r="B109" t="s">
        <v>253</v>
      </c>
      <c r="C109" t="s">
        <v>241</v>
      </c>
      <c r="D109" t="s">
        <v>259</v>
      </c>
    </row>
    <row r="110" spans="1:4" x14ac:dyDescent="0.45">
      <c r="A110" s="1">
        <v>108</v>
      </c>
      <c r="B110" t="s">
        <v>253</v>
      </c>
      <c r="C110" t="s">
        <v>242</v>
      </c>
      <c r="D110" t="s">
        <v>259</v>
      </c>
    </row>
    <row r="111" spans="1:4" x14ac:dyDescent="0.45">
      <c r="A111" s="1">
        <v>109</v>
      </c>
      <c r="B111" t="s">
        <v>253</v>
      </c>
      <c r="C111" t="s">
        <v>232</v>
      </c>
      <c r="D111" t="s">
        <v>259</v>
      </c>
    </row>
    <row r="112" spans="1:4" x14ac:dyDescent="0.45">
      <c r="A112" s="1">
        <v>110</v>
      </c>
      <c r="B112" t="s">
        <v>254</v>
      </c>
      <c r="C112" t="s">
        <v>29</v>
      </c>
      <c r="D112" t="s">
        <v>259</v>
      </c>
    </row>
    <row r="113" spans="1:4" x14ac:dyDescent="0.45">
      <c r="A113" s="1">
        <v>111</v>
      </c>
      <c r="B113" t="s">
        <v>254</v>
      </c>
      <c r="C113" t="s">
        <v>30</v>
      </c>
      <c r="D113" t="s">
        <v>259</v>
      </c>
    </row>
    <row r="114" spans="1:4" x14ac:dyDescent="0.45">
      <c r="A114" s="1">
        <v>112</v>
      </c>
      <c r="B114" t="s">
        <v>255</v>
      </c>
      <c r="C114" t="s">
        <v>29</v>
      </c>
      <c r="D114" t="s">
        <v>259</v>
      </c>
    </row>
    <row r="115" spans="1:4" x14ac:dyDescent="0.45">
      <c r="A115" s="1">
        <v>113</v>
      </c>
      <c r="B115" t="s">
        <v>255</v>
      </c>
      <c r="C115" t="s">
        <v>30</v>
      </c>
      <c r="D115" t="s">
        <v>259</v>
      </c>
    </row>
    <row r="116" spans="1:4" x14ac:dyDescent="0.45">
      <c r="A116" s="1">
        <v>114</v>
      </c>
      <c r="B116" t="s">
        <v>256</v>
      </c>
      <c r="C116" t="s">
        <v>29</v>
      </c>
      <c r="D116" t="s">
        <v>259</v>
      </c>
    </row>
    <row r="117" spans="1:4" x14ac:dyDescent="0.45">
      <c r="A117" s="1">
        <v>115</v>
      </c>
      <c r="B117" t="s">
        <v>256</v>
      </c>
      <c r="C117" t="s">
        <v>30</v>
      </c>
      <c r="D117" t="s">
        <v>259</v>
      </c>
    </row>
    <row r="118" spans="1:4" x14ac:dyDescent="0.45">
      <c r="A118" s="1">
        <v>116</v>
      </c>
      <c r="B118" t="s">
        <v>257</v>
      </c>
      <c r="C118" t="s">
        <v>227</v>
      </c>
      <c r="D118" t="s">
        <v>259</v>
      </c>
    </row>
    <row r="119" spans="1:4" x14ac:dyDescent="0.45">
      <c r="A119" s="1">
        <v>117</v>
      </c>
      <c r="B119" t="s">
        <v>257</v>
      </c>
      <c r="C119" t="s">
        <v>232</v>
      </c>
      <c r="D11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parameters</vt:lpstr>
      <vt:lpstr>bus</vt:lpstr>
      <vt:lpstr>load</vt:lpstr>
      <vt:lpstr>sgen</vt:lpstr>
      <vt:lpstr>switch</vt:lpstr>
      <vt:lpstr>ext_grid</vt:lpstr>
      <vt:lpstr>line</vt:lpstr>
      <vt:lpstr>trafo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res_sgen</vt:lpstr>
      <vt:lpstr>res_switch</vt:lpstr>
      <vt:lpstr>dtypes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Mauricio Valarezo Rivera</dc:creator>
  <cp:lastModifiedBy>Juan Manuel Gómez Corral</cp:lastModifiedBy>
  <dcterms:created xsi:type="dcterms:W3CDTF">2022-12-13T11:30:17Z</dcterms:created>
  <dcterms:modified xsi:type="dcterms:W3CDTF">2025-12-22T16:27:31Z</dcterms:modified>
</cp:coreProperties>
</file>